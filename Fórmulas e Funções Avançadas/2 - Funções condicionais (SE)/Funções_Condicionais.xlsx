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am\Desktop\Analista de Dados\Excel\estudos_excel\Fórmulas e Funções Avançadas\2 - Funções condicionais (SE)\"/>
    </mc:Choice>
  </mc:AlternateContent>
  <xr:revisionPtr revIDLastSave="0" documentId="13_ncr:1_{2CCC4E07-7019-490E-820B-EEF8941355E5}" xr6:coauthVersionLast="47" xr6:coauthVersionMax="47" xr10:uidLastSave="{00000000-0000-0000-0000-000000000000}"/>
  <bookViews>
    <workbookView xWindow="-120" yWindow="-120" windowWidth="29040" windowHeight="15720" activeTab="3" xr2:uid="{B3655E84-69E5-4E3D-B55F-C5BC0506C15D}"/>
  </bookViews>
  <sheets>
    <sheet name="SE " sheetId="2" r:id="rId1"/>
    <sheet name="CONT.SE e CONT.SES" sheetId="4" r:id="rId2"/>
    <sheet name="SOMASE e SOMASES" sheetId="3" r:id="rId3"/>
    <sheet name="PROCV" sheetId="5" r:id="rId4"/>
    <sheet name="PROCH" sheetId="10" r:id="rId5"/>
    <sheet name="Base de Gerentes" sheetId="8" state="hidden" r:id="rId6"/>
    <sheet name="PROCX" sheetId="7" r:id="rId7"/>
    <sheet name="Base de Vendedores" sheetId="9" state="hidden" r:id="rId8"/>
  </sheets>
  <definedNames>
    <definedName name="_xlnm._FilterDatabase" localSheetId="1" hidden="1">'CONT.SE e CONT.SES'!$A$1:$H$35</definedName>
    <definedName name="_xlnm._FilterDatabase" localSheetId="3" hidden="1">PROCV!#REF!</definedName>
    <definedName name="_xlnm._FilterDatabase" localSheetId="6" hidden="1">PROCX!$A$1:$L$35</definedName>
    <definedName name="_xlnm._FilterDatabase" localSheetId="0" hidden="1">'SE '!$A$1:$H$35</definedName>
    <definedName name="_xlnm._FilterDatabase" localSheetId="2" hidden="1">'SOMASE e SOMASES'!$A$1:$I$35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O17" i="3"/>
  <c r="O10" i="3"/>
  <c r="O13" i="4"/>
  <c r="O6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J33" i="9"/>
  <c r="H33" i="9"/>
  <c r="G33" i="9"/>
  <c r="F33" i="9"/>
  <c r="E33" i="9"/>
  <c r="F32" i="9"/>
  <c r="J32" i="9" s="1"/>
  <c r="G32" i="9"/>
  <c r="H32" i="9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2" i="7"/>
  <c r="G5" i="5"/>
  <c r="G2" i="5"/>
  <c r="G3" i="5"/>
  <c r="G4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6" i="9"/>
  <c r="G16" i="9"/>
  <c r="F16" i="9"/>
  <c r="E16" i="9"/>
  <c r="H15" i="9"/>
  <c r="G15" i="9"/>
  <c r="F15" i="9"/>
  <c r="E15" i="9"/>
  <c r="H14" i="9"/>
  <c r="G14" i="9"/>
  <c r="F14" i="9"/>
  <c r="E14" i="9"/>
  <c r="J14" i="9" s="1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J6" i="9" s="1"/>
  <c r="H5" i="9"/>
  <c r="G5" i="9"/>
  <c r="F5" i="9"/>
  <c r="E5" i="9"/>
  <c r="H4" i="9"/>
  <c r="G4" i="9"/>
  <c r="F4" i="9"/>
  <c r="E4" i="9"/>
  <c r="H3" i="9"/>
  <c r="G3" i="9"/>
  <c r="F3" i="9"/>
  <c r="E3" i="9"/>
  <c r="H2" i="9"/>
  <c r="G2" i="9"/>
  <c r="F2" i="9"/>
  <c r="E2" i="9"/>
  <c r="J2" i="9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J31" i="9" l="1"/>
  <c r="J30" i="9"/>
  <c r="J20" i="9"/>
  <c r="J22" i="9"/>
  <c r="J15" i="9"/>
  <c r="J17" i="9"/>
  <c r="J19" i="9"/>
  <c r="J23" i="9"/>
  <c r="J13" i="9"/>
  <c r="J29" i="9"/>
  <c r="J7" i="9"/>
  <c r="J8" i="9"/>
  <c r="J10" i="9"/>
  <c r="J25" i="9"/>
  <c r="J27" i="9"/>
  <c r="J28" i="9"/>
  <c r="J3" i="9"/>
  <c r="J16" i="9"/>
  <c r="J18" i="9"/>
  <c r="J5" i="9"/>
  <c r="J12" i="9"/>
  <c r="J21" i="9"/>
  <c r="J4" i="9"/>
  <c r="J9" i="9"/>
  <c r="J11" i="9"/>
  <c r="J24" i="9"/>
  <c r="J26" i="9"/>
</calcChain>
</file>

<file path=xl/sharedStrings.xml><?xml version="1.0" encoding="utf-8"?>
<sst xmlns="http://schemas.openxmlformats.org/spreadsheetml/2006/main" count="965" uniqueCount="116">
  <si>
    <t>ID</t>
  </si>
  <si>
    <t>Data da Venda</t>
  </si>
  <si>
    <t>Produto</t>
  </si>
  <si>
    <t>Preço</t>
  </si>
  <si>
    <t>Vendedor</t>
  </si>
  <si>
    <t>Sexo</t>
  </si>
  <si>
    <t>Quantidade</t>
  </si>
  <si>
    <t>Forma de Pagamento</t>
  </si>
  <si>
    <t>Loja</t>
  </si>
  <si>
    <t>Faturamento Total</t>
  </si>
  <si>
    <t>Lancheira Básica</t>
  </si>
  <si>
    <t>Ana Beatriz Trindade</t>
  </si>
  <si>
    <t>Feminino</t>
  </si>
  <si>
    <t>Cartão de Crédito</t>
  </si>
  <si>
    <t>Santa Catarina</t>
  </si>
  <si>
    <t>Lancheira Premium Completa</t>
  </si>
  <si>
    <t>Israel Becker</t>
  </si>
  <si>
    <t>Masculino</t>
  </si>
  <si>
    <t>Transferência Bancária</t>
  </si>
  <si>
    <t>São Paulo</t>
  </si>
  <si>
    <t>Caderno Pautado 150 Fl Pq</t>
  </si>
  <si>
    <t>Cecília Tavares</t>
  </si>
  <si>
    <t>Mouse Básico</t>
  </si>
  <si>
    <t>Yuri Xavier</t>
  </si>
  <si>
    <t>Boleto</t>
  </si>
  <si>
    <t>Rio de Janeiro</t>
  </si>
  <si>
    <t>Camisa Branca P</t>
  </si>
  <si>
    <t>Pietra Lopes</t>
  </si>
  <si>
    <t>Rio Grande do Sul</t>
  </si>
  <si>
    <t>Teclado Wireless</t>
  </si>
  <si>
    <t>Fernanda Neves</t>
  </si>
  <si>
    <t>Giz de cera Pequeno 12 Cores</t>
  </si>
  <si>
    <t>André Lopes</t>
  </si>
  <si>
    <t>Caneta 4 Cores P5</t>
  </si>
  <si>
    <t>Vitória Siqueira</t>
  </si>
  <si>
    <t>Fichário</t>
  </si>
  <si>
    <t>Daniel Nascimento</t>
  </si>
  <si>
    <t>Pistola de cola quente</t>
  </si>
  <si>
    <t>Maria Fernanda Carvalho</t>
  </si>
  <si>
    <t>Esquadro Color</t>
  </si>
  <si>
    <t>Pietro Nascimento</t>
  </si>
  <si>
    <t>Estojo Modelo Pano</t>
  </si>
  <si>
    <t>Ana Laura Noronha</t>
  </si>
  <si>
    <t>Short Preto G</t>
  </si>
  <si>
    <t>Camisa Branca M</t>
  </si>
  <si>
    <t>Luna Nascimento Sampaio</t>
  </si>
  <si>
    <t>Avental</t>
  </si>
  <si>
    <t>Pedro Lucas Frota</t>
  </si>
  <si>
    <t>Giz de cera Grande 24 Cores</t>
  </si>
  <si>
    <t>Davi Uchoa</t>
  </si>
  <si>
    <t>Resma Papel A4</t>
  </si>
  <si>
    <t>Davi Miguel Neves</t>
  </si>
  <si>
    <t>Borracha Branca Protector P20</t>
  </si>
  <si>
    <t>Thomas Junqueira</t>
  </si>
  <si>
    <t>Caneta Azul P10</t>
  </si>
  <si>
    <t>Maria Isis Trindade</t>
  </si>
  <si>
    <t>Caderno Pautado 300 Fl</t>
  </si>
  <si>
    <t>Yago Frota</t>
  </si>
  <si>
    <t>Gael Xavier</t>
  </si>
  <si>
    <t>Carlos Eduardo</t>
  </si>
  <si>
    <t>Arthur Henrique Pires</t>
  </si>
  <si>
    <t>Esquadro Transparente</t>
  </si>
  <si>
    <t>Lorenzo Rangel</t>
  </si>
  <si>
    <t>Projetor 720</t>
  </si>
  <si>
    <t>Guilherme Valença</t>
  </si>
  <si>
    <t>Letícia Peçanha</t>
  </si>
  <si>
    <t>Cola Bastão</t>
  </si>
  <si>
    <t>Pietro Lopes</t>
  </si>
  <si>
    <t>Lucas Barros</t>
  </si>
  <si>
    <t>Tinta Aquarela Azul</t>
  </si>
  <si>
    <t>Catarina Penteado</t>
  </si>
  <si>
    <t>Cola 500 ml</t>
  </si>
  <si>
    <t>Arthur Miguel dos Santos</t>
  </si>
  <si>
    <t>Tesoura Premium</t>
  </si>
  <si>
    <t>Erick Frota</t>
  </si>
  <si>
    <t>Arthur Pereira</t>
  </si>
  <si>
    <t>PenDrive 128 Gb</t>
  </si>
  <si>
    <t>Emilly Pimenta</t>
  </si>
  <si>
    <t>Categoria de Pagamento</t>
  </si>
  <si>
    <t>Gerente</t>
  </si>
  <si>
    <t>Carmem Silva</t>
  </si>
  <si>
    <t>Julia Ramos</t>
  </si>
  <si>
    <t>Roberto Lopes</t>
  </si>
  <si>
    <t>Gabriel Gomes</t>
  </si>
  <si>
    <t>Código</t>
  </si>
  <si>
    <t>Número</t>
  </si>
  <si>
    <t>Sobrenome</t>
  </si>
  <si>
    <t>Nome</t>
  </si>
  <si>
    <t>130 uni</t>
  </si>
  <si>
    <t>103 uni</t>
  </si>
  <si>
    <t>45 uni</t>
  </si>
  <si>
    <t>58 uni</t>
  </si>
  <si>
    <t>Vendedores</t>
  </si>
  <si>
    <t>12 vendedores</t>
  </si>
  <si>
    <t>8 vendedores</t>
  </si>
  <si>
    <t>5 vendedores</t>
  </si>
  <si>
    <t>6 vendedores</t>
  </si>
  <si>
    <t>Quantidade de vendas</t>
  </si>
  <si>
    <t>Principal método de pagamento</t>
  </si>
  <si>
    <t>Pagamento Digital</t>
  </si>
  <si>
    <t>Pagamento Tradicional</t>
  </si>
  <si>
    <t>Incidências =</t>
  </si>
  <si>
    <t>Incidência de Venda por Sexo</t>
  </si>
  <si>
    <t>Incidência de Venda por Sexo em Determinado Estado</t>
  </si>
  <si>
    <t>Incidência de Venda do Estado</t>
  </si>
  <si>
    <t>e</t>
  </si>
  <si>
    <r>
      <rPr>
        <b/>
        <sz val="11"/>
        <color theme="1"/>
        <rFont val="Calibri"/>
        <family val="2"/>
        <scheme val="minor"/>
      </rPr>
      <t>SOMASE:</t>
    </r>
    <r>
      <rPr>
        <sz val="11"/>
        <color theme="1"/>
        <rFont val="Calibri"/>
        <family val="2"/>
        <scheme val="minor"/>
      </rPr>
      <t xml:space="preserve"> Serve para somar valores com base na quantidade de incidências de outro critério estabelecido.</t>
    </r>
  </si>
  <si>
    <r>
      <rPr>
        <b/>
        <sz val="11"/>
        <color theme="1"/>
        <rFont val="Calibri"/>
        <family val="2"/>
        <scheme val="minor"/>
      </rPr>
      <t>SOMASES:</t>
    </r>
    <r>
      <rPr>
        <sz val="11"/>
        <color theme="1"/>
        <rFont val="Calibri"/>
        <family val="2"/>
        <scheme val="minor"/>
      </rPr>
      <t xml:space="preserve">  Serve para somar valores com base na quantidade de incidências de outros critérios estabelecido.</t>
    </r>
  </si>
  <si>
    <r>
      <rPr>
        <b/>
        <sz val="11"/>
        <color theme="1"/>
        <rFont val="Calibri"/>
        <family val="2"/>
        <scheme val="minor"/>
      </rPr>
      <t>CONT.SE:</t>
    </r>
    <r>
      <rPr>
        <sz val="11"/>
        <color theme="1"/>
        <rFont val="Calibri"/>
        <family val="2"/>
        <scheme val="minor"/>
      </rPr>
      <t xml:space="preserve"> Serve para contar a quantidade de incidências de determinado critério em uma coluna.</t>
    </r>
  </si>
  <si>
    <r>
      <rPr>
        <b/>
        <sz val="11"/>
        <color theme="1"/>
        <rFont val="Calibri"/>
        <family val="2"/>
        <scheme val="minor"/>
      </rPr>
      <t>CONT.SES:</t>
    </r>
    <r>
      <rPr>
        <sz val="11"/>
        <color theme="1"/>
        <rFont val="Calibri"/>
        <family val="2"/>
        <scheme val="minor"/>
      </rPr>
      <t xml:space="preserve"> Serve para contar a quantidade de incidências de determinado critério com base em várias colunas</t>
    </r>
  </si>
  <si>
    <r>
      <rPr>
        <b/>
        <sz val="11"/>
        <color theme="1"/>
        <rFont val="Calibri"/>
        <family val="2"/>
        <scheme val="minor"/>
      </rPr>
      <t>PROCV:</t>
    </r>
    <r>
      <rPr>
        <sz val="11"/>
        <color theme="1"/>
        <rFont val="Calibri"/>
        <family val="2"/>
        <scheme val="minor"/>
      </rPr>
      <t xml:space="preserve"> é usada para buscar um valor em uma coluna de uma tabela e retornar um valor correspondente de outra coluna na mesma linha.</t>
    </r>
  </si>
  <si>
    <t>*Para ver a tabela de gerentes é necessário reexibí-las.</t>
  </si>
  <si>
    <t>Nesse caso, buscou-se os gerentes, na tabela oculta "Base de Gerentes", utilizando a coluna "Loja" como referência.</t>
  </si>
  <si>
    <t>a primeira coluna dessa tabela seja igual ao valor_procurado na fórmula do PROCV.</t>
  </si>
  <si>
    <t xml:space="preserve">Ao selecionar uma tabela para ser utilizada como base para a tabela a ser aplicada o PROCV, é necessário que </t>
  </si>
  <si>
    <t>Além disso, o núm_índice_coluna da fórmula se trata da coluna (A, B, C...) contada em números (A = 1, B = 2...).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</si>
</sst>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2D5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DC1C5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rgb="FFC9750F"/>
      </left>
      <right style="thin">
        <color rgb="FFC9750F"/>
      </right>
      <top style="thin">
        <color rgb="FFC9750F"/>
      </top>
      <bottom style="thin">
        <color rgb="FFC975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3399"/>
      </left>
      <right style="thin">
        <color rgb="FFFF3399"/>
      </right>
      <top style="thin">
        <color rgb="FFFF3399"/>
      </top>
      <bottom style="thin">
        <color rgb="FFFF3399"/>
      </bottom>
      <diagonal/>
    </border>
    <border>
      <left style="thin">
        <color rgb="FFFFB3D9"/>
      </left>
      <right style="thin">
        <color rgb="FFFFB3D9"/>
      </right>
      <top style="thin">
        <color rgb="FFFFB3D9"/>
      </top>
      <bottom style="thin">
        <color rgb="FFFFB3D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DC1C5"/>
      </left>
      <right style="thin">
        <color rgb="FF0DC1C5"/>
      </right>
      <top style="thin">
        <color rgb="FF0DC1C5"/>
      </top>
      <bottom style="thin">
        <color rgb="FF0DC1C5"/>
      </bottom>
      <diagonal/>
    </border>
    <border>
      <left style="thin">
        <color rgb="FF9966FF"/>
      </left>
      <right style="thin">
        <color rgb="FF9966FF"/>
      </right>
      <top style="thin">
        <color rgb="FF9966FF"/>
      </top>
      <bottom style="thin">
        <color rgb="FF9966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44" fontId="0" fillId="0" borderId="1" xfId="0" applyNumberFormat="1" applyBorder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0" fillId="0" borderId="3" xfId="0" applyNumberFormat="1" applyBorder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4" fillId="0" borderId="0" xfId="1"/>
    <xf numFmtId="0" fontId="0" fillId="0" borderId="4" xfId="0" applyBorder="1"/>
    <xf numFmtId="0" fontId="0" fillId="0" borderId="4" xfId="0" applyBorder="1" applyAlignment="1">
      <alignment horizontal="center"/>
    </xf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6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8" xfId="0" applyBorder="1"/>
    <xf numFmtId="14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6" fillId="10" borderId="0" xfId="0" applyFont="1" applyFill="1" applyAlignment="1">
      <alignment horizontal="left"/>
    </xf>
    <xf numFmtId="0" fontId="0" fillId="0" borderId="8" xfId="0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6" fillId="10" borderId="8" xfId="0" applyFont="1" applyFill="1" applyBorder="1" applyAlignment="1">
      <alignment horizontal="left"/>
    </xf>
    <xf numFmtId="0" fontId="0" fillId="0" borderId="0" xfId="0" applyAlignment="1">
      <alignment horizontal="left"/>
    </xf>
    <xf numFmtId="8" fontId="0" fillId="0" borderId="8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0" fontId="6" fillId="11" borderId="0" xfId="0" applyFont="1" applyFill="1" applyAlignment="1">
      <alignment horizontal="center"/>
    </xf>
    <xf numFmtId="14" fontId="6" fillId="11" borderId="0" xfId="0" applyNumberFormat="1" applyFont="1" applyFill="1" applyAlignment="1">
      <alignment horizontal="center"/>
    </xf>
    <xf numFmtId="164" fontId="6" fillId="11" borderId="0" xfId="0" applyNumberFormat="1" applyFont="1" applyFill="1" applyAlignment="1">
      <alignment horizontal="center"/>
    </xf>
    <xf numFmtId="0" fontId="0" fillId="0" borderId="9" xfId="0" applyBorder="1" applyAlignment="1">
      <alignment horizontal="center"/>
    </xf>
    <xf numFmtId="14" fontId="0" fillId="0" borderId="9" xfId="0" applyNumberFormat="1" applyBorder="1" applyAlignment="1">
      <alignment horizontal="left"/>
    </xf>
    <xf numFmtId="0" fontId="0" fillId="0" borderId="9" xfId="0" applyBorder="1"/>
    <xf numFmtId="164" fontId="0" fillId="0" borderId="9" xfId="0" applyNumberFormat="1" applyBorder="1"/>
    <xf numFmtId="0" fontId="0" fillId="0" borderId="0" xfId="0" applyAlignment="1">
      <alignment wrapText="1"/>
    </xf>
    <xf numFmtId="0" fontId="0" fillId="12" borderId="0" xfId="0" applyFill="1"/>
    <xf numFmtId="0" fontId="0" fillId="0" borderId="0" xfId="0" applyAlignment="1">
      <alignment horizontal="left" vertical="center"/>
    </xf>
    <xf numFmtId="0" fontId="0" fillId="14" borderId="0" xfId="0" applyFill="1" applyAlignment="1">
      <alignment horizontal="center"/>
    </xf>
    <xf numFmtId="0" fontId="1" fillId="3" borderId="0" xfId="0" applyFont="1" applyFill="1" applyAlignment="1">
      <alignment wrapText="1"/>
    </xf>
    <xf numFmtId="0" fontId="8" fillId="13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0" fillId="17" borderId="0" xfId="0" applyFill="1"/>
    <xf numFmtId="164" fontId="0" fillId="0" borderId="0" xfId="0" applyNumberFormat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8" fillId="18" borderId="0" xfId="0" applyFont="1" applyFill="1" applyAlignment="1">
      <alignment horizontal="center"/>
    </xf>
    <xf numFmtId="164" fontId="0" fillId="0" borderId="0" xfId="0" applyNumberFormat="1" applyAlignment="1">
      <alignment horizontal="left"/>
    </xf>
    <xf numFmtId="0" fontId="0" fillId="16" borderId="0" xfId="0" applyFill="1" applyAlignment="1">
      <alignment horizontal="center"/>
    </xf>
    <xf numFmtId="0" fontId="0" fillId="15" borderId="0" xfId="0" applyFill="1" applyAlignment="1">
      <alignment horizontal="center" wrapText="1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1" borderId="0" xfId="0" applyFill="1" applyAlignment="1">
      <alignment horizontal="center"/>
    </xf>
    <xf numFmtId="0" fontId="9" fillId="21" borderId="0" xfId="0" applyFont="1" applyFill="1" applyAlignment="1">
      <alignment horizontal="center"/>
    </xf>
    <xf numFmtId="0" fontId="9" fillId="22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FF3399"/>
        </left>
        <right style="thin">
          <color rgb="FFFF3399"/>
        </right>
        <top style="thin">
          <color rgb="FFFF3399"/>
        </top>
        <bottom style="thin">
          <color rgb="FFFF3399"/>
        </bottom>
        <vertical/>
        <horizontal/>
      </border>
    </dxf>
    <dxf>
      <font>
        <i val="0"/>
      </font>
      <alignment horizontal="left" vertical="bottom" textRotation="0" wrapText="0" indent="0" justifyLastLine="0" shrinkToFit="0" readingOrder="0"/>
      <border diagonalUp="0" diagonalDown="0">
        <left style="thin">
          <color rgb="FFFF3399"/>
        </left>
        <right style="thin">
          <color rgb="FFFF3399"/>
        </right>
        <top style="thin">
          <color rgb="FFFF3399"/>
        </top>
        <bottom style="thin">
          <color rgb="FFFF3399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FF3399"/>
        </left>
        <right style="thin">
          <color rgb="FFFF3399"/>
        </right>
        <top style="thin">
          <color rgb="FFFF3399"/>
        </top>
        <bottom style="thin">
          <color rgb="FFFF3399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FF3399"/>
        </left>
        <right style="thin">
          <color rgb="FFFF3399"/>
        </right>
        <top style="thin">
          <color rgb="FFFF3399"/>
        </top>
        <bottom style="thin">
          <color rgb="FFFF3399"/>
        </bottom>
      </border>
    </dxf>
    <dxf>
      <font>
        <color theme="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FF3399"/>
        </left>
        <right style="thin">
          <color rgb="FFFF3399"/>
        </right>
        <top style="thin">
          <color rgb="FFFF3399"/>
        </top>
        <bottom style="thin">
          <color rgb="FFFF3399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FF3399"/>
        </left>
        <right style="thin">
          <color rgb="FFFF3399"/>
        </right>
        <top style="thin">
          <color rgb="FFFF3399"/>
        </top>
        <bottom style="thin">
          <color rgb="FFFF3399"/>
        </bottom>
        <vertical/>
        <horizontal/>
      </border>
    </dxf>
    <dxf>
      <border outline="0">
        <bottom style="thin">
          <color rgb="FFFF33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339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FF9966"/>
      <color rgb="FFFF99FF"/>
      <color rgb="FF9966FF"/>
      <color rgb="FF003399"/>
      <color rgb="FF0DC1C5"/>
      <color rgb="FF098689"/>
      <color rgb="FF10E9EE"/>
      <color rgb="FF18EBF0"/>
      <color rgb="FF47E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556661-BAAD-48D9-B03D-E7F89FE82573}" name="Tabela5" displayName="Tabela5" ref="A1:G35" totalsRowShown="0" headerRowDxfId="12" tableBorderDxfId="11">
  <autoFilter ref="A1:G35" xr:uid="{BC556661-BAAD-48D9-B03D-E7F89FE82573}"/>
  <tableColumns count="7">
    <tableColumn id="5" xr3:uid="{B0BB7E06-1D92-4784-B55D-F479C339BAA5}" name="Vendedor" dataDxfId="10"/>
    <tableColumn id="15" xr3:uid="{BA2D8181-5272-4222-92C7-FBE9AA59FC4B}" name="Sexo" dataDxfId="9"/>
    <tableColumn id="16" xr3:uid="{DEAC3529-0364-4D65-900B-644C12C27290}" name="Produto" dataDxfId="8"/>
    <tableColumn id="6" xr3:uid="{80F4B34D-47BF-4CA9-B724-F6A9FDAC18BB}" name="Quantidade" dataDxfId="7"/>
    <tableColumn id="7" xr3:uid="{9824E274-F9BF-4C4B-B67C-B37F4FE597F8}" name="Forma de Pagamento" dataDxfId="6"/>
    <tableColumn id="8" xr3:uid="{79C536FE-2BFB-42C0-A6CD-BE7F30B5A32C}" name="Loja" dataDxfId="5"/>
    <tableColumn id="3" xr3:uid="{98B18284-EE82-462A-AF37-9687985D1897}" name="Gerente" dataDxfId="4">
      <calculatedColumnFormula>VLOOKUP(F2,'Base de Gerentes'!A:B,2,)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23F5B7-4888-48CF-A737-66754A39F8B4}" name="Tabela2" displayName="Tabela2" ref="A1:B5" totalsRowShown="0" headerRowDxfId="3" dataDxfId="2">
  <tableColumns count="2">
    <tableColumn id="1" xr3:uid="{067C0872-A6F4-4674-817C-BB39C48D3795}" name="Loja" dataDxfId="1"/>
    <tableColumn id="2" xr3:uid="{0E2FDE1A-6BC9-4008-AAD4-33717584AE34}" name="Gerent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1B6B-99B2-4438-A87D-C9D918372CE1}">
  <sheetPr filterMode="1"/>
  <dimension ref="A1:H106"/>
  <sheetViews>
    <sheetView showGridLines="0" workbookViewId="0">
      <selection activeCell="H1" sqref="H1"/>
    </sheetView>
  </sheetViews>
  <sheetFormatPr defaultRowHeight="15" x14ac:dyDescent="0.25"/>
  <cols>
    <col min="1" max="1" width="8.85546875" style="1"/>
    <col min="2" max="2" width="17.28515625" style="2" customWidth="1"/>
    <col min="3" max="3" width="26.7109375" bestFit="1" customWidth="1"/>
    <col min="4" max="4" width="15" style="10" customWidth="1"/>
    <col min="5" max="5" width="10.42578125" style="1" bestFit="1" customWidth="1"/>
    <col min="6" max="6" width="23" bestFit="1" customWidth="1"/>
    <col min="7" max="7" width="17.85546875" customWidth="1"/>
    <col min="8" max="8" width="23" bestFit="1" customWidth="1"/>
  </cols>
  <sheetData>
    <row r="1" spans="1:8" x14ac:dyDescent="0.25">
      <c r="A1" s="37" t="s">
        <v>0</v>
      </c>
      <c r="B1" s="38" t="s">
        <v>1</v>
      </c>
      <c r="C1" s="37" t="s">
        <v>2</v>
      </c>
      <c r="D1" s="37" t="s">
        <v>3</v>
      </c>
      <c r="E1" s="37" t="s">
        <v>6</v>
      </c>
      <c r="F1" s="37" t="s">
        <v>7</v>
      </c>
      <c r="G1" s="37" t="s">
        <v>9</v>
      </c>
      <c r="H1" s="37" t="s">
        <v>78</v>
      </c>
    </row>
    <row r="2" spans="1:8" x14ac:dyDescent="0.25">
      <c r="A2" s="4">
        <v>1</v>
      </c>
      <c r="B2" s="5">
        <v>42980</v>
      </c>
      <c r="C2" s="6" t="s">
        <v>10</v>
      </c>
      <c r="D2" s="8">
        <v>43.36</v>
      </c>
      <c r="E2" s="4">
        <v>7</v>
      </c>
      <c r="F2" s="6" t="s">
        <v>13</v>
      </c>
      <c r="G2" s="7">
        <f>PRODUCT(D2,E2)</f>
        <v>303.52</v>
      </c>
      <c r="H2" s="7" t="str">
        <f>IF(F2 = "Cartão de Crédito", "Pagamento Digital", "Pagamento Tradicional")</f>
        <v>Pagamento Digital</v>
      </c>
    </row>
    <row r="3" spans="1:8" hidden="1" x14ac:dyDescent="0.25">
      <c r="A3" s="4">
        <v>2</v>
      </c>
      <c r="B3" s="5">
        <v>42535</v>
      </c>
      <c r="C3" s="6" t="s">
        <v>15</v>
      </c>
      <c r="D3" s="8">
        <v>45.36</v>
      </c>
      <c r="E3" s="4">
        <v>9</v>
      </c>
      <c r="F3" s="6" t="s">
        <v>18</v>
      </c>
      <c r="G3" s="7">
        <f t="shared" ref="G3:G35" si="0">PRODUCT(D3,E3)</f>
        <v>408.24</v>
      </c>
      <c r="H3" s="7" t="str">
        <f t="shared" ref="H3:H35" si="1">IF(F3 = "Cartão de Crédito", "Pagamento Digital", "Pagamento Tradicional")</f>
        <v>Pagamento Tradicional</v>
      </c>
    </row>
    <row r="4" spans="1:8" x14ac:dyDescent="0.25">
      <c r="A4" s="4">
        <v>3</v>
      </c>
      <c r="B4" s="5">
        <v>43946</v>
      </c>
      <c r="C4" s="6" t="s">
        <v>20</v>
      </c>
      <c r="D4" s="8">
        <v>12.52</v>
      </c>
      <c r="E4" s="4">
        <v>5</v>
      </c>
      <c r="F4" s="6" t="s">
        <v>13</v>
      </c>
      <c r="G4" s="7">
        <f t="shared" si="0"/>
        <v>62.599999999999994</v>
      </c>
      <c r="H4" s="7" t="str">
        <f t="shared" si="1"/>
        <v>Pagamento Digital</v>
      </c>
    </row>
    <row r="5" spans="1:8" hidden="1" x14ac:dyDescent="0.25">
      <c r="A5" s="4">
        <v>4</v>
      </c>
      <c r="B5" s="5">
        <v>42200</v>
      </c>
      <c r="C5" s="6" t="s">
        <v>22</v>
      </c>
      <c r="D5" s="8">
        <v>25.87</v>
      </c>
      <c r="E5" s="4">
        <v>7</v>
      </c>
      <c r="F5" s="6" t="s">
        <v>24</v>
      </c>
      <c r="G5" s="7">
        <f t="shared" si="0"/>
        <v>181.09</v>
      </c>
      <c r="H5" s="7" t="str">
        <f t="shared" si="1"/>
        <v>Pagamento Tradicional</v>
      </c>
    </row>
    <row r="6" spans="1:8" hidden="1" x14ac:dyDescent="0.25">
      <c r="A6" s="4">
        <v>5</v>
      </c>
      <c r="B6" s="5">
        <v>43836</v>
      </c>
      <c r="C6" s="6" t="s">
        <v>26</v>
      </c>
      <c r="D6" s="8">
        <v>18.559999999999999</v>
      </c>
      <c r="E6" s="4">
        <v>5</v>
      </c>
      <c r="F6" s="6" t="s">
        <v>24</v>
      </c>
      <c r="G6" s="7">
        <f t="shared" si="0"/>
        <v>92.8</v>
      </c>
      <c r="H6" s="7" t="str">
        <f t="shared" si="1"/>
        <v>Pagamento Tradicional</v>
      </c>
    </row>
    <row r="7" spans="1:8" hidden="1" x14ac:dyDescent="0.25">
      <c r="A7" s="4">
        <v>6</v>
      </c>
      <c r="B7" s="5">
        <v>42081</v>
      </c>
      <c r="C7" s="6" t="s">
        <v>29</v>
      </c>
      <c r="D7" s="8">
        <v>202.47</v>
      </c>
      <c r="E7" s="4">
        <v>7</v>
      </c>
      <c r="F7" s="6" t="s">
        <v>24</v>
      </c>
      <c r="G7" s="7">
        <f t="shared" si="0"/>
        <v>1417.29</v>
      </c>
      <c r="H7" s="7" t="str">
        <f t="shared" si="1"/>
        <v>Pagamento Tradicional</v>
      </c>
    </row>
    <row r="8" spans="1:8" hidden="1" x14ac:dyDescent="0.25">
      <c r="A8" s="4">
        <v>7</v>
      </c>
      <c r="B8" s="5">
        <v>43896</v>
      </c>
      <c r="C8" s="6" t="s">
        <v>31</v>
      </c>
      <c r="D8" s="8">
        <v>13.25</v>
      </c>
      <c r="E8" s="4">
        <v>5</v>
      </c>
      <c r="F8" s="6" t="s">
        <v>18</v>
      </c>
      <c r="G8" s="7">
        <f t="shared" si="0"/>
        <v>66.25</v>
      </c>
      <c r="H8" s="7" t="str">
        <f t="shared" si="1"/>
        <v>Pagamento Tradicional</v>
      </c>
    </row>
    <row r="9" spans="1:8" hidden="1" x14ac:dyDescent="0.25">
      <c r="A9" s="4">
        <v>8</v>
      </c>
      <c r="B9" s="5">
        <v>43141</v>
      </c>
      <c r="C9" s="6" t="s">
        <v>33</v>
      </c>
      <c r="D9" s="8">
        <v>18.96</v>
      </c>
      <c r="E9" s="4">
        <v>8</v>
      </c>
      <c r="F9" s="6" t="s">
        <v>24</v>
      </c>
      <c r="G9" s="7">
        <f t="shared" si="0"/>
        <v>151.68</v>
      </c>
      <c r="H9" s="7" t="str">
        <f t="shared" si="1"/>
        <v>Pagamento Tradicional</v>
      </c>
    </row>
    <row r="10" spans="1:8" hidden="1" x14ac:dyDescent="0.25">
      <c r="A10" s="4">
        <v>9</v>
      </c>
      <c r="B10" s="5">
        <v>43441</v>
      </c>
      <c r="C10" s="6" t="s">
        <v>35</v>
      </c>
      <c r="D10" s="8">
        <v>17.98</v>
      </c>
      <c r="E10" s="4">
        <v>14</v>
      </c>
      <c r="F10" s="6" t="s">
        <v>24</v>
      </c>
      <c r="G10" s="7">
        <f t="shared" si="0"/>
        <v>251.72</v>
      </c>
      <c r="H10" s="7" t="str">
        <f t="shared" si="1"/>
        <v>Pagamento Tradicional</v>
      </c>
    </row>
    <row r="11" spans="1:8" hidden="1" x14ac:dyDescent="0.25">
      <c r="A11" s="4">
        <v>10</v>
      </c>
      <c r="B11" s="5">
        <v>43901</v>
      </c>
      <c r="C11" s="6" t="s">
        <v>37</v>
      </c>
      <c r="D11" s="8">
        <v>18.98</v>
      </c>
      <c r="E11" s="4">
        <v>5</v>
      </c>
      <c r="F11" s="6" t="s">
        <v>18</v>
      </c>
      <c r="G11" s="7">
        <f t="shared" si="0"/>
        <v>94.9</v>
      </c>
      <c r="H11" s="7" t="str">
        <f t="shared" si="1"/>
        <v>Pagamento Tradicional</v>
      </c>
    </row>
    <row r="12" spans="1:8" hidden="1" x14ac:dyDescent="0.25">
      <c r="A12" s="4">
        <v>11</v>
      </c>
      <c r="B12" s="5">
        <v>43307</v>
      </c>
      <c r="C12" s="6" t="s">
        <v>39</v>
      </c>
      <c r="D12" s="8">
        <v>13.85</v>
      </c>
      <c r="E12" s="4">
        <v>14</v>
      </c>
      <c r="F12" s="6" t="s">
        <v>24</v>
      </c>
      <c r="G12" s="7">
        <f t="shared" si="0"/>
        <v>193.9</v>
      </c>
      <c r="H12" s="7" t="str">
        <f t="shared" si="1"/>
        <v>Pagamento Tradicional</v>
      </c>
    </row>
    <row r="13" spans="1:8" x14ac:dyDescent="0.25">
      <c r="A13" s="4">
        <v>12</v>
      </c>
      <c r="B13" s="5">
        <v>43392</v>
      </c>
      <c r="C13" s="6" t="s">
        <v>41</v>
      </c>
      <c r="D13" s="8">
        <v>25.98</v>
      </c>
      <c r="E13" s="4">
        <v>11</v>
      </c>
      <c r="F13" s="6" t="s">
        <v>13</v>
      </c>
      <c r="G13" s="7">
        <f t="shared" si="0"/>
        <v>285.78000000000003</v>
      </c>
      <c r="H13" s="7" t="str">
        <f t="shared" si="1"/>
        <v>Pagamento Digital</v>
      </c>
    </row>
    <row r="14" spans="1:8" hidden="1" x14ac:dyDescent="0.25">
      <c r="A14" s="4">
        <v>13</v>
      </c>
      <c r="B14" s="5">
        <v>43686</v>
      </c>
      <c r="C14" s="6" t="s">
        <v>43</v>
      </c>
      <c r="D14" s="8">
        <v>18.98</v>
      </c>
      <c r="E14" s="4">
        <v>9</v>
      </c>
      <c r="F14" s="6" t="s">
        <v>24</v>
      </c>
      <c r="G14" s="7">
        <f t="shared" si="0"/>
        <v>170.82</v>
      </c>
      <c r="H14" s="7" t="str">
        <f t="shared" si="1"/>
        <v>Pagamento Tradicional</v>
      </c>
    </row>
    <row r="15" spans="1:8" hidden="1" x14ac:dyDescent="0.25">
      <c r="A15" s="4">
        <v>14</v>
      </c>
      <c r="B15" s="5">
        <v>43147</v>
      </c>
      <c r="C15" s="6" t="s">
        <v>44</v>
      </c>
      <c r="D15" s="8">
        <v>18.559999999999999</v>
      </c>
      <c r="E15" s="4">
        <v>15</v>
      </c>
      <c r="F15" s="6" t="s">
        <v>24</v>
      </c>
      <c r="G15" s="7">
        <f t="shared" si="0"/>
        <v>278.39999999999998</v>
      </c>
      <c r="H15" s="7" t="str">
        <f t="shared" si="1"/>
        <v>Pagamento Tradicional</v>
      </c>
    </row>
    <row r="16" spans="1:8" x14ac:dyDescent="0.25">
      <c r="A16" s="4">
        <v>15</v>
      </c>
      <c r="B16" s="5">
        <v>44114</v>
      </c>
      <c r="C16" s="6" t="s">
        <v>46</v>
      </c>
      <c r="D16" s="8">
        <v>13.36</v>
      </c>
      <c r="E16" s="4">
        <v>5</v>
      </c>
      <c r="F16" s="6" t="s">
        <v>13</v>
      </c>
      <c r="G16" s="7">
        <f t="shared" si="0"/>
        <v>66.8</v>
      </c>
      <c r="H16" s="7" t="str">
        <f t="shared" si="1"/>
        <v>Pagamento Digital</v>
      </c>
    </row>
    <row r="17" spans="1:8" x14ac:dyDescent="0.25">
      <c r="A17" s="4">
        <v>16</v>
      </c>
      <c r="B17" s="5">
        <v>44104</v>
      </c>
      <c r="C17" s="6" t="s">
        <v>48</v>
      </c>
      <c r="D17" s="8">
        <v>29.98</v>
      </c>
      <c r="E17" s="4">
        <v>5</v>
      </c>
      <c r="F17" s="6" t="s">
        <v>13</v>
      </c>
      <c r="G17" s="7">
        <f t="shared" si="0"/>
        <v>149.9</v>
      </c>
      <c r="H17" s="7" t="str">
        <f t="shared" si="1"/>
        <v>Pagamento Digital</v>
      </c>
    </row>
    <row r="18" spans="1:8" hidden="1" x14ac:dyDescent="0.25">
      <c r="A18" s="4">
        <v>17</v>
      </c>
      <c r="B18" s="5">
        <v>42257</v>
      </c>
      <c r="C18" s="6" t="s">
        <v>29</v>
      </c>
      <c r="D18" s="8">
        <v>202.47</v>
      </c>
      <c r="E18" s="4">
        <v>11</v>
      </c>
      <c r="F18" s="6" t="s">
        <v>24</v>
      </c>
      <c r="G18" s="7">
        <f t="shared" si="0"/>
        <v>2227.17</v>
      </c>
      <c r="H18" s="7" t="str">
        <f t="shared" si="1"/>
        <v>Pagamento Tradicional</v>
      </c>
    </row>
    <row r="19" spans="1:8" hidden="1" x14ac:dyDescent="0.25">
      <c r="A19" s="4">
        <v>18</v>
      </c>
      <c r="B19" s="5">
        <v>42427</v>
      </c>
      <c r="C19" s="6" t="s">
        <v>50</v>
      </c>
      <c r="D19" s="8">
        <v>35.619999999999997</v>
      </c>
      <c r="E19" s="4">
        <v>10</v>
      </c>
      <c r="F19" s="6" t="s">
        <v>18</v>
      </c>
      <c r="G19" s="7">
        <f t="shared" si="0"/>
        <v>356.2</v>
      </c>
      <c r="H19" s="7" t="str">
        <f t="shared" si="1"/>
        <v>Pagamento Tradicional</v>
      </c>
    </row>
    <row r="20" spans="1:8" hidden="1" x14ac:dyDescent="0.25">
      <c r="A20" s="4">
        <v>19</v>
      </c>
      <c r="B20" s="5">
        <v>42536</v>
      </c>
      <c r="C20" s="6" t="s">
        <v>52</v>
      </c>
      <c r="D20" s="8">
        <v>33.99</v>
      </c>
      <c r="E20" s="4">
        <v>9</v>
      </c>
      <c r="F20" s="6" t="s">
        <v>24</v>
      </c>
      <c r="G20" s="7">
        <f t="shared" si="0"/>
        <v>305.91000000000003</v>
      </c>
      <c r="H20" s="7" t="str">
        <f t="shared" si="1"/>
        <v>Pagamento Tradicional</v>
      </c>
    </row>
    <row r="21" spans="1:8" hidden="1" x14ac:dyDescent="0.25">
      <c r="A21" s="4">
        <v>20</v>
      </c>
      <c r="B21" s="5">
        <v>42389</v>
      </c>
      <c r="C21" s="6" t="s">
        <v>54</v>
      </c>
      <c r="D21" s="8">
        <v>17.2</v>
      </c>
      <c r="E21" s="4">
        <v>15</v>
      </c>
      <c r="F21" s="6" t="s">
        <v>24</v>
      </c>
      <c r="G21" s="7">
        <f t="shared" si="0"/>
        <v>258</v>
      </c>
      <c r="H21" s="7" t="str">
        <f t="shared" si="1"/>
        <v>Pagamento Tradicional</v>
      </c>
    </row>
    <row r="22" spans="1:8" hidden="1" x14ac:dyDescent="0.25">
      <c r="A22" s="4">
        <v>21</v>
      </c>
      <c r="B22" s="5">
        <v>43195</v>
      </c>
      <c r="C22" s="6" t="s">
        <v>56</v>
      </c>
      <c r="D22" s="8">
        <v>28.9</v>
      </c>
      <c r="E22" s="4">
        <v>14</v>
      </c>
      <c r="F22" s="6" t="s">
        <v>24</v>
      </c>
      <c r="G22" s="7">
        <f t="shared" si="0"/>
        <v>404.59999999999997</v>
      </c>
      <c r="H22" s="7" t="str">
        <f t="shared" si="1"/>
        <v>Pagamento Tradicional</v>
      </c>
    </row>
    <row r="23" spans="1:8" hidden="1" x14ac:dyDescent="0.25">
      <c r="A23" s="4">
        <v>22</v>
      </c>
      <c r="B23" s="5">
        <v>43174</v>
      </c>
      <c r="C23" s="6" t="s">
        <v>10</v>
      </c>
      <c r="D23" s="8">
        <v>43.36</v>
      </c>
      <c r="E23" s="4">
        <v>8</v>
      </c>
      <c r="F23" s="6" t="s">
        <v>24</v>
      </c>
      <c r="G23" s="7">
        <f t="shared" si="0"/>
        <v>346.88</v>
      </c>
      <c r="H23" s="7" t="str">
        <f t="shared" si="1"/>
        <v>Pagamento Tradicional</v>
      </c>
    </row>
    <row r="24" spans="1:8" hidden="1" x14ac:dyDescent="0.25">
      <c r="A24" s="4">
        <v>23</v>
      </c>
      <c r="B24" s="5">
        <v>42189</v>
      </c>
      <c r="C24" s="6" t="s">
        <v>29</v>
      </c>
      <c r="D24" s="8">
        <v>202.47</v>
      </c>
      <c r="E24" s="4">
        <v>11</v>
      </c>
      <c r="F24" s="6" t="s">
        <v>18</v>
      </c>
      <c r="G24" s="7">
        <f t="shared" si="0"/>
        <v>2227.17</v>
      </c>
      <c r="H24" s="7" t="str">
        <f t="shared" si="1"/>
        <v>Pagamento Tradicional</v>
      </c>
    </row>
    <row r="25" spans="1:8" x14ac:dyDescent="0.25">
      <c r="A25" s="4">
        <v>24</v>
      </c>
      <c r="B25" s="5">
        <v>42491</v>
      </c>
      <c r="C25" s="6" t="s">
        <v>35</v>
      </c>
      <c r="D25" s="8">
        <v>17.98</v>
      </c>
      <c r="E25" s="4">
        <v>11</v>
      </c>
      <c r="F25" s="6" t="s">
        <v>13</v>
      </c>
      <c r="G25" s="7">
        <f t="shared" si="0"/>
        <v>197.78</v>
      </c>
      <c r="H25" s="7" t="str">
        <f t="shared" si="1"/>
        <v>Pagamento Digital</v>
      </c>
    </row>
    <row r="26" spans="1:8" hidden="1" x14ac:dyDescent="0.25">
      <c r="A26" s="4">
        <v>25</v>
      </c>
      <c r="B26" s="5">
        <v>42854</v>
      </c>
      <c r="C26" s="6" t="s">
        <v>61</v>
      </c>
      <c r="D26" s="8">
        <v>13.65</v>
      </c>
      <c r="E26" s="4">
        <v>11</v>
      </c>
      <c r="F26" s="6" t="s">
        <v>24</v>
      </c>
      <c r="G26" s="7">
        <f t="shared" si="0"/>
        <v>150.15</v>
      </c>
      <c r="H26" s="7" t="str">
        <f t="shared" si="1"/>
        <v>Pagamento Tradicional</v>
      </c>
    </row>
    <row r="27" spans="1:8" x14ac:dyDescent="0.25">
      <c r="A27" s="4">
        <v>26</v>
      </c>
      <c r="B27" s="5">
        <v>43107</v>
      </c>
      <c r="C27" s="6" t="s">
        <v>63</v>
      </c>
      <c r="D27" s="8">
        <v>458.32</v>
      </c>
      <c r="E27" s="4">
        <v>13</v>
      </c>
      <c r="F27" s="6" t="s">
        <v>13</v>
      </c>
      <c r="G27" s="7">
        <f t="shared" si="0"/>
        <v>5958.16</v>
      </c>
      <c r="H27" s="7" t="str">
        <f t="shared" si="1"/>
        <v>Pagamento Digital</v>
      </c>
    </row>
    <row r="28" spans="1:8" hidden="1" x14ac:dyDescent="0.25">
      <c r="A28" s="4">
        <v>27</v>
      </c>
      <c r="B28" s="5">
        <v>42145</v>
      </c>
      <c r="C28" s="6" t="s">
        <v>29</v>
      </c>
      <c r="D28" s="8">
        <v>202.47</v>
      </c>
      <c r="E28" s="4">
        <v>11</v>
      </c>
      <c r="F28" s="6" t="s">
        <v>24</v>
      </c>
      <c r="G28" s="7">
        <f t="shared" si="0"/>
        <v>2227.17</v>
      </c>
      <c r="H28" s="7" t="str">
        <f t="shared" si="1"/>
        <v>Pagamento Tradicional</v>
      </c>
    </row>
    <row r="29" spans="1:8" hidden="1" x14ac:dyDescent="0.25">
      <c r="A29" s="4">
        <v>28</v>
      </c>
      <c r="B29" s="5">
        <v>43907</v>
      </c>
      <c r="C29" s="6" t="s">
        <v>66</v>
      </c>
      <c r="D29" s="8">
        <v>13.89</v>
      </c>
      <c r="E29" s="4">
        <v>5</v>
      </c>
      <c r="F29" s="6" t="s">
        <v>24</v>
      </c>
      <c r="G29" s="7">
        <f t="shared" si="0"/>
        <v>69.45</v>
      </c>
      <c r="H29" s="7" t="str">
        <f t="shared" si="1"/>
        <v>Pagamento Tradicional</v>
      </c>
    </row>
    <row r="30" spans="1:8" hidden="1" x14ac:dyDescent="0.25">
      <c r="A30" s="4">
        <v>29</v>
      </c>
      <c r="B30" s="5">
        <v>42246</v>
      </c>
      <c r="C30" s="6" t="s">
        <v>29</v>
      </c>
      <c r="D30" s="8">
        <v>202.47</v>
      </c>
      <c r="E30" s="4">
        <v>14</v>
      </c>
      <c r="F30" s="6" t="s">
        <v>18</v>
      </c>
      <c r="G30" s="7">
        <f t="shared" si="0"/>
        <v>2834.58</v>
      </c>
      <c r="H30" s="7" t="str">
        <f t="shared" si="1"/>
        <v>Pagamento Tradicional</v>
      </c>
    </row>
    <row r="31" spans="1:8" hidden="1" x14ac:dyDescent="0.25">
      <c r="A31" s="4">
        <v>30</v>
      </c>
      <c r="B31" s="5">
        <v>43608</v>
      </c>
      <c r="C31" s="6" t="s">
        <v>69</v>
      </c>
      <c r="D31" s="8">
        <v>30.98</v>
      </c>
      <c r="E31" s="4">
        <v>14</v>
      </c>
      <c r="F31" s="6" t="s">
        <v>24</v>
      </c>
      <c r="G31" s="7">
        <f t="shared" si="0"/>
        <v>433.72</v>
      </c>
      <c r="H31" s="7" t="str">
        <f t="shared" si="1"/>
        <v>Pagamento Tradicional</v>
      </c>
    </row>
    <row r="32" spans="1:8" x14ac:dyDescent="0.25">
      <c r="A32" s="4">
        <v>31</v>
      </c>
      <c r="B32" s="5">
        <v>43172</v>
      </c>
      <c r="C32" s="6" t="s">
        <v>71</v>
      </c>
      <c r="D32" s="8">
        <v>16.95</v>
      </c>
      <c r="E32" s="4">
        <v>11</v>
      </c>
      <c r="F32" s="6" t="s">
        <v>13</v>
      </c>
      <c r="G32" s="7">
        <f t="shared" si="0"/>
        <v>186.45</v>
      </c>
      <c r="H32" s="7" t="str">
        <f t="shared" si="1"/>
        <v>Pagamento Digital</v>
      </c>
    </row>
    <row r="33" spans="1:8" hidden="1" x14ac:dyDescent="0.25">
      <c r="A33" s="4">
        <v>32</v>
      </c>
      <c r="B33" s="5">
        <v>43649</v>
      </c>
      <c r="C33" s="6" t="s">
        <v>73</v>
      </c>
      <c r="D33" s="8">
        <v>26.85</v>
      </c>
      <c r="E33" s="4">
        <v>13</v>
      </c>
      <c r="F33" s="6" t="s">
        <v>18</v>
      </c>
      <c r="G33" s="7">
        <f t="shared" si="0"/>
        <v>349.05</v>
      </c>
      <c r="H33" s="7" t="str">
        <f t="shared" si="1"/>
        <v>Pagamento Tradicional</v>
      </c>
    </row>
    <row r="34" spans="1:8" hidden="1" x14ac:dyDescent="0.25">
      <c r="A34" s="4">
        <v>33</v>
      </c>
      <c r="B34" s="5">
        <v>42435</v>
      </c>
      <c r="C34" s="6" t="s">
        <v>71</v>
      </c>
      <c r="D34" s="8">
        <v>16.95</v>
      </c>
      <c r="E34" s="4">
        <v>9</v>
      </c>
      <c r="F34" s="6" t="s">
        <v>24</v>
      </c>
      <c r="G34" s="7">
        <f t="shared" si="0"/>
        <v>152.54999999999998</v>
      </c>
      <c r="H34" s="7" t="str">
        <f t="shared" si="1"/>
        <v>Pagamento Tradicional</v>
      </c>
    </row>
    <row r="35" spans="1:8" hidden="1" x14ac:dyDescent="0.25">
      <c r="A35" s="4">
        <v>34</v>
      </c>
      <c r="B35" s="5">
        <v>43273</v>
      </c>
      <c r="C35" s="6" t="s">
        <v>76</v>
      </c>
      <c r="D35" s="8">
        <v>65</v>
      </c>
      <c r="E35" s="4">
        <v>15</v>
      </c>
      <c r="F35" s="6" t="s">
        <v>18</v>
      </c>
      <c r="G35" s="7">
        <f t="shared" si="0"/>
        <v>975</v>
      </c>
      <c r="H35" s="7" t="str">
        <f t="shared" si="1"/>
        <v>Pagamento Tradicional</v>
      </c>
    </row>
    <row r="36" spans="1:8" x14ac:dyDescent="0.25">
      <c r="D36" s="9"/>
    </row>
    <row r="37" spans="1:8" x14ac:dyDescent="0.25">
      <c r="D37" s="9"/>
    </row>
    <row r="38" spans="1:8" x14ac:dyDescent="0.25">
      <c r="D38" s="9"/>
    </row>
    <row r="39" spans="1:8" x14ac:dyDescent="0.25">
      <c r="D39" s="9"/>
    </row>
    <row r="40" spans="1:8" x14ac:dyDescent="0.25">
      <c r="D40" s="9"/>
    </row>
    <row r="41" spans="1:8" x14ac:dyDescent="0.25">
      <c r="D41" s="9"/>
    </row>
    <row r="42" spans="1:8" x14ac:dyDescent="0.25">
      <c r="D42" s="9"/>
    </row>
    <row r="43" spans="1:8" x14ac:dyDescent="0.25">
      <c r="D43" s="9"/>
    </row>
    <row r="44" spans="1:8" x14ac:dyDescent="0.25">
      <c r="D44" s="9"/>
    </row>
    <row r="45" spans="1:8" x14ac:dyDescent="0.25">
      <c r="D45" s="9"/>
    </row>
    <row r="46" spans="1:8" x14ac:dyDescent="0.25">
      <c r="D46" s="9"/>
    </row>
    <row r="47" spans="1:8" x14ac:dyDescent="0.25">
      <c r="D47" s="9"/>
    </row>
    <row r="48" spans="1:8" x14ac:dyDescent="0.25">
      <c r="D48" s="9"/>
    </row>
    <row r="49" spans="4:4" x14ac:dyDescent="0.25">
      <c r="D49" s="9"/>
    </row>
    <row r="50" spans="4:4" x14ac:dyDescent="0.25">
      <c r="D50" s="9"/>
    </row>
    <row r="51" spans="4:4" x14ac:dyDescent="0.25">
      <c r="D51" s="9"/>
    </row>
    <row r="52" spans="4:4" x14ac:dyDescent="0.25">
      <c r="D52" s="9"/>
    </row>
    <row r="53" spans="4:4" x14ac:dyDescent="0.25">
      <c r="D53" s="9"/>
    </row>
    <row r="54" spans="4:4" x14ac:dyDescent="0.25">
      <c r="D54" s="9"/>
    </row>
    <row r="55" spans="4:4" x14ac:dyDescent="0.25">
      <c r="D55" s="9"/>
    </row>
    <row r="56" spans="4:4" x14ac:dyDescent="0.25">
      <c r="D56" s="9"/>
    </row>
    <row r="57" spans="4:4" x14ac:dyDescent="0.25">
      <c r="D57" s="9"/>
    </row>
    <row r="58" spans="4:4" x14ac:dyDescent="0.25">
      <c r="D58" s="9"/>
    </row>
    <row r="59" spans="4:4" x14ac:dyDescent="0.25">
      <c r="D59" s="9"/>
    </row>
    <row r="60" spans="4:4" x14ac:dyDescent="0.25">
      <c r="D60" s="9"/>
    </row>
    <row r="61" spans="4:4" x14ac:dyDescent="0.25">
      <c r="D61" s="9"/>
    </row>
    <row r="62" spans="4:4" x14ac:dyDescent="0.25">
      <c r="D62" s="9"/>
    </row>
    <row r="63" spans="4:4" x14ac:dyDescent="0.25">
      <c r="D63" s="9"/>
    </row>
    <row r="64" spans="4:4" x14ac:dyDescent="0.25">
      <c r="D64" s="9"/>
    </row>
    <row r="65" spans="4:4" x14ac:dyDescent="0.25">
      <c r="D65" s="9"/>
    </row>
    <row r="66" spans="4:4" x14ac:dyDescent="0.25">
      <c r="D66" s="9"/>
    </row>
    <row r="67" spans="4:4" x14ac:dyDescent="0.25">
      <c r="D67" s="9"/>
    </row>
    <row r="68" spans="4:4" x14ac:dyDescent="0.25">
      <c r="D68" s="9"/>
    </row>
    <row r="69" spans="4:4" x14ac:dyDescent="0.25">
      <c r="D69" s="9"/>
    </row>
    <row r="70" spans="4:4" x14ac:dyDescent="0.25">
      <c r="D70" s="9"/>
    </row>
    <row r="71" spans="4:4" x14ac:dyDescent="0.25">
      <c r="D71" s="9"/>
    </row>
    <row r="72" spans="4:4" x14ac:dyDescent="0.25">
      <c r="D72" s="9"/>
    </row>
    <row r="73" spans="4:4" x14ac:dyDescent="0.25">
      <c r="D73" s="9"/>
    </row>
    <row r="74" spans="4:4" x14ac:dyDescent="0.25">
      <c r="D74" s="9"/>
    </row>
    <row r="75" spans="4:4" x14ac:dyDescent="0.25">
      <c r="D75" s="9"/>
    </row>
    <row r="76" spans="4:4" x14ac:dyDescent="0.25">
      <c r="D76" s="9"/>
    </row>
    <row r="77" spans="4:4" x14ac:dyDescent="0.25">
      <c r="D77" s="9"/>
    </row>
    <row r="78" spans="4:4" x14ac:dyDescent="0.25">
      <c r="D78" s="9"/>
    </row>
    <row r="79" spans="4:4" x14ac:dyDescent="0.25">
      <c r="D79" s="9"/>
    </row>
    <row r="80" spans="4:4" x14ac:dyDescent="0.25">
      <c r="D80" s="9"/>
    </row>
    <row r="81" spans="4:4" x14ac:dyDescent="0.25">
      <c r="D81" s="9"/>
    </row>
    <row r="82" spans="4:4" x14ac:dyDescent="0.25">
      <c r="D82" s="9"/>
    </row>
    <row r="83" spans="4:4" x14ac:dyDescent="0.25">
      <c r="D83" s="9"/>
    </row>
    <row r="84" spans="4:4" x14ac:dyDescent="0.25">
      <c r="D84" s="9"/>
    </row>
    <row r="85" spans="4:4" x14ac:dyDescent="0.25">
      <c r="D85" s="9"/>
    </row>
    <row r="86" spans="4:4" x14ac:dyDescent="0.25">
      <c r="D86" s="9"/>
    </row>
    <row r="87" spans="4:4" x14ac:dyDescent="0.25">
      <c r="D87" s="9"/>
    </row>
    <row r="88" spans="4:4" x14ac:dyDescent="0.25">
      <c r="D88" s="9"/>
    </row>
    <row r="89" spans="4:4" x14ac:dyDescent="0.25">
      <c r="D89" s="9"/>
    </row>
    <row r="90" spans="4:4" x14ac:dyDescent="0.25">
      <c r="D90" s="9"/>
    </row>
    <row r="91" spans="4:4" x14ac:dyDescent="0.25">
      <c r="D91" s="9"/>
    </row>
    <row r="92" spans="4:4" x14ac:dyDescent="0.25">
      <c r="D92" s="9"/>
    </row>
    <row r="93" spans="4:4" x14ac:dyDescent="0.25">
      <c r="D93" s="9"/>
    </row>
    <row r="94" spans="4:4" x14ac:dyDescent="0.25">
      <c r="D94" s="9"/>
    </row>
    <row r="95" spans="4:4" x14ac:dyDescent="0.25">
      <c r="D95" s="9"/>
    </row>
    <row r="96" spans="4:4" x14ac:dyDescent="0.25">
      <c r="D96" s="9"/>
    </row>
    <row r="97" spans="4:4" x14ac:dyDescent="0.25">
      <c r="D97" s="9"/>
    </row>
    <row r="98" spans="4:4" x14ac:dyDescent="0.25">
      <c r="D98" s="9"/>
    </row>
    <row r="99" spans="4:4" x14ac:dyDescent="0.25">
      <c r="D99" s="9"/>
    </row>
    <row r="100" spans="4:4" x14ac:dyDescent="0.25">
      <c r="D100" s="9"/>
    </row>
    <row r="101" spans="4:4" x14ac:dyDescent="0.25">
      <c r="D101" s="9"/>
    </row>
    <row r="102" spans="4:4" x14ac:dyDescent="0.25">
      <c r="D102" s="9"/>
    </row>
    <row r="103" spans="4:4" x14ac:dyDescent="0.25">
      <c r="D103" s="9"/>
    </row>
    <row r="104" spans="4:4" x14ac:dyDescent="0.25">
      <c r="D104" s="9"/>
    </row>
    <row r="105" spans="4:4" x14ac:dyDescent="0.25">
      <c r="D105" s="9"/>
    </row>
    <row r="106" spans="4:4" x14ac:dyDescent="0.25">
      <c r="D106" s="9"/>
    </row>
  </sheetData>
  <autoFilter ref="A1:H35" xr:uid="{C1C31B6B-99B2-4438-A87D-C9D918372CE1}">
    <filterColumn colId="7">
      <filters>
        <filter val="Pagamento Digital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9472-C9E1-4B24-B703-537C72B595CD}">
  <dimension ref="A1:U35"/>
  <sheetViews>
    <sheetView showGridLines="0" topLeftCell="B1" workbookViewId="0">
      <selection activeCell="K9" sqref="K9:T9"/>
    </sheetView>
  </sheetViews>
  <sheetFormatPr defaultRowHeight="15" x14ac:dyDescent="0.25"/>
  <cols>
    <col min="1" max="1" width="8.85546875" style="1"/>
    <col min="2" max="2" width="26.7109375" bestFit="1" customWidth="1"/>
    <col min="3" max="3" width="9.28515625" customWidth="1"/>
    <col min="4" max="4" width="22.85546875" bestFit="1" customWidth="1"/>
    <col min="5" max="5" width="11" customWidth="1"/>
    <col min="6" max="6" width="10.42578125" style="1" bestFit="1" customWidth="1"/>
    <col min="7" max="7" width="22.42578125" customWidth="1"/>
    <col min="8" max="8" width="20.42578125" customWidth="1"/>
    <col min="10" max="10" width="15.42578125" bestFit="1" customWidth="1"/>
    <col min="14" max="14" width="12.28515625" bestFit="1" customWidth="1"/>
    <col min="15" max="15" width="27.5703125" bestFit="1" customWidth="1"/>
    <col min="16" max="16" width="13.5703125" bestFit="1" customWidth="1"/>
    <col min="17" max="17" width="10" bestFit="1" customWidth="1"/>
  </cols>
  <sheetData>
    <row r="1" spans="1:21" ht="13.9" customHeight="1" x14ac:dyDescent="0.25">
      <c r="A1" s="35" t="s">
        <v>0</v>
      </c>
      <c r="B1" s="36" t="s">
        <v>2</v>
      </c>
      <c r="C1" s="35" t="s">
        <v>3</v>
      </c>
      <c r="D1" s="35" t="s">
        <v>4</v>
      </c>
      <c r="E1" s="35" t="s">
        <v>5</v>
      </c>
      <c r="F1" s="35" t="s">
        <v>6</v>
      </c>
      <c r="G1" s="35" t="s">
        <v>7</v>
      </c>
      <c r="H1" s="35" t="s">
        <v>8</v>
      </c>
      <c r="J1" s="1"/>
    </row>
    <row r="2" spans="1:21" ht="15" customHeight="1" x14ac:dyDescent="0.25">
      <c r="A2" s="12">
        <v>1</v>
      </c>
      <c r="B2" s="11" t="s">
        <v>10</v>
      </c>
      <c r="C2" s="11">
        <v>43.36</v>
      </c>
      <c r="D2" s="11" t="s">
        <v>11</v>
      </c>
      <c r="E2" s="11" t="s">
        <v>12</v>
      </c>
      <c r="F2" s="12">
        <v>7</v>
      </c>
      <c r="G2" s="11" t="s">
        <v>13</v>
      </c>
      <c r="H2" s="11" t="s">
        <v>14</v>
      </c>
      <c r="K2" s="66" t="s">
        <v>108</v>
      </c>
      <c r="L2" s="66"/>
      <c r="M2" s="66"/>
      <c r="N2" s="66"/>
      <c r="O2" s="66"/>
      <c r="P2" s="66"/>
      <c r="Q2" s="66"/>
      <c r="R2" s="66"/>
      <c r="S2" s="66"/>
      <c r="T2" s="66"/>
      <c r="U2" s="57"/>
    </row>
    <row r="3" spans="1:21" ht="15" customHeight="1" x14ac:dyDescent="0.25">
      <c r="A3" s="12">
        <v>2</v>
      </c>
      <c r="B3" s="11" t="s">
        <v>15</v>
      </c>
      <c r="C3" s="11">
        <v>45.36</v>
      </c>
      <c r="D3" s="11" t="s">
        <v>16</v>
      </c>
      <c r="E3" s="11" t="s">
        <v>17</v>
      </c>
      <c r="F3" s="12">
        <v>9</v>
      </c>
      <c r="G3" s="11" t="s">
        <v>18</v>
      </c>
      <c r="H3" s="11" t="s">
        <v>19</v>
      </c>
      <c r="J3" s="53"/>
      <c r="K3" s="53"/>
      <c r="L3" s="53"/>
      <c r="M3" s="53"/>
      <c r="N3" s="53"/>
      <c r="O3" s="53"/>
    </row>
    <row r="4" spans="1:21" x14ac:dyDescent="0.25">
      <c r="A4" s="12">
        <v>3</v>
      </c>
      <c r="B4" s="11" t="s">
        <v>20</v>
      </c>
      <c r="C4" s="11">
        <v>12.52</v>
      </c>
      <c r="D4" s="11" t="s">
        <v>21</v>
      </c>
      <c r="E4" s="11" t="s">
        <v>12</v>
      </c>
      <c r="F4" s="12">
        <v>5</v>
      </c>
      <c r="G4" s="11" t="s">
        <v>13</v>
      </c>
      <c r="H4" s="11" t="s">
        <v>19</v>
      </c>
      <c r="J4" s="1"/>
      <c r="N4" s="1"/>
      <c r="O4" s="56" t="s">
        <v>102</v>
      </c>
    </row>
    <row r="5" spans="1:21" x14ac:dyDescent="0.25">
      <c r="A5" s="12">
        <v>4</v>
      </c>
      <c r="B5" s="11" t="s">
        <v>22</v>
      </c>
      <c r="C5" s="11">
        <v>25.87</v>
      </c>
      <c r="D5" s="11" t="s">
        <v>23</v>
      </c>
      <c r="E5" s="11" t="s">
        <v>17</v>
      </c>
      <c r="F5" s="12">
        <v>7</v>
      </c>
      <c r="G5" s="11" t="s">
        <v>24</v>
      </c>
      <c r="H5" s="11" t="s">
        <v>25</v>
      </c>
    </row>
    <row r="6" spans="1:21" x14ac:dyDescent="0.25">
      <c r="A6" s="12">
        <v>5</v>
      </c>
      <c r="B6" s="11" t="s">
        <v>26</v>
      </c>
      <c r="C6" s="11">
        <v>18.559999999999999</v>
      </c>
      <c r="D6" s="11" t="s">
        <v>27</v>
      </c>
      <c r="E6" s="11" t="s">
        <v>12</v>
      </c>
      <c r="F6" s="12">
        <v>5</v>
      </c>
      <c r="G6" s="11" t="s">
        <v>24</v>
      </c>
      <c r="H6" s="11" t="s">
        <v>28</v>
      </c>
      <c r="N6" s="54" t="s">
        <v>101</v>
      </c>
      <c r="O6" s="55">
        <f>COUNTIF(E:E, P6)</f>
        <v>12</v>
      </c>
      <c r="P6" s="59" t="s">
        <v>12</v>
      </c>
    </row>
    <row r="7" spans="1:21" x14ac:dyDescent="0.25">
      <c r="A7" s="12">
        <v>6</v>
      </c>
      <c r="B7" s="11" t="s">
        <v>29</v>
      </c>
      <c r="C7" s="11">
        <v>202.47</v>
      </c>
      <c r="D7" s="11" t="s">
        <v>30</v>
      </c>
      <c r="E7" s="11" t="s">
        <v>12</v>
      </c>
      <c r="F7" s="12">
        <v>7</v>
      </c>
      <c r="G7" s="11" t="s">
        <v>24</v>
      </c>
      <c r="H7" s="11" t="s">
        <v>25</v>
      </c>
    </row>
    <row r="8" spans="1:21" x14ac:dyDescent="0.25">
      <c r="A8" s="12">
        <v>7</v>
      </c>
      <c r="B8" s="11" t="s">
        <v>31</v>
      </c>
      <c r="C8" s="11">
        <v>13.25</v>
      </c>
      <c r="D8" s="11" t="s">
        <v>32</v>
      </c>
      <c r="E8" s="11" t="s">
        <v>17</v>
      </c>
      <c r="F8" s="12">
        <v>5</v>
      </c>
      <c r="G8" s="11" t="s">
        <v>18</v>
      </c>
      <c r="H8" s="11" t="s">
        <v>28</v>
      </c>
    </row>
    <row r="9" spans="1:21" x14ac:dyDescent="0.25">
      <c r="A9" s="12">
        <v>8</v>
      </c>
      <c r="B9" s="11" t="s">
        <v>33</v>
      </c>
      <c r="C9" s="11">
        <v>18.96</v>
      </c>
      <c r="D9" s="11" t="s">
        <v>34</v>
      </c>
      <c r="E9" s="11" t="s">
        <v>12</v>
      </c>
      <c r="F9" s="12">
        <v>8</v>
      </c>
      <c r="G9" s="11" t="s">
        <v>24</v>
      </c>
      <c r="H9" s="11" t="s">
        <v>28</v>
      </c>
      <c r="K9" s="65" t="s">
        <v>109</v>
      </c>
      <c r="L9" s="65"/>
      <c r="M9" s="65"/>
      <c r="N9" s="65"/>
      <c r="O9" s="65"/>
      <c r="P9" s="65"/>
      <c r="Q9" s="65"/>
      <c r="R9" s="65"/>
      <c r="S9" s="65"/>
      <c r="T9" s="65"/>
    </row>
    <row r="10" spans="1:21" x14ac:dyDescent="0.25">
      <c r="A10" s="12">
        <v>9</v>
      </c>
      <c r="B10" s="11" t="s">
        <v>35</v>
      </c>
      <c r="C10" s="11">
        <v>17.98</v>
      </c>
      <c r="D10" s="11" t="s">
        <v>36</v>
      </c>
      <c r="E10" s="11" t="s">
        <v>17</v>
      </c>
      <c r="F10" s="12">
        <v>14</v>
      </c>
      <c r="G10" s="11" t="s">
        <v>24</v>
      </c>
      <c r="H10" s="11" t="s">
        <v>28</v>
      </c>
    </row>
    <row r="11" spans="1:21" x14ac:dyDescent="0.25">
      <c r="A11" s="12">
        <v>10</v>
      </c>
      <c r="B11" s="11" t="s">
        <v>37</v>
      </c>
      <c r="C11" s="11">
        <v>18.98</v>
      </c>
      <c r="D11" s="11" t="s">
        <v>38</v>
      </c>
      <c r="E11" s="11" t="s">
        <v>12</v>
      </c>
      <c r="F11" s="12">
        <v>5</v>
      </c>
      <c r="G11" s="11" t="s">
        <v>18</v>
      </c>
      <c r="H11" s="11" t="s">
        <v>19</v>
      </c>
      <c r="N11" s="67" t="s">
        <v>103</v>
      </c>
      <c r="O11" s="67"/>
      <c r="P11" s="67"/>
    </row>
    <row r="12" spans="1:21" x14ac:dyDescent="0.25">
      <c r="A12" s="12">
        <v>11</v>
      </c>
      <c r="B12" s="11" t="s">
        <v>39</v>
      </c>
      <c r="C12" s="11">
        <v>13.85</v>
      </c>
      <c r="D12" s="11" t="s">
        <v>40</v>
      </c>
      <c r="E12" s="11" t="s">
        <v>17</v>
      </c>
      <c r="F12" s="12">
        <v>14</v>
      </c>
      <c r="G12" s="11" t="s">
        <v>24</v>
      </c>
      <c r="H12" s="11" t="s">
        <v>25</v>
      </c>
    </row>
    <row r="13" spans="1:21" x14ac:dyDescent="0.25">
      <c r="A13" s="12">
        <v>12</v>
      </c>
      <c r="B13" s="11" t="s">
        <v>41</v>
      </c>
      <c r="C13" s="11">
        <v>25.98</v>
      </c>
      <c r="D13" s="11" t="s">
        <v>42</v>
      </c>
      <c r="E13" s="11" t="s">
        <v>12</v>
      </c>
      <c r="F13" s="12">
        <v>11</v>
      </c>
      <c r="G13" s="11" t="s">
        <v>13</v>
      </c>
      <c r="H13" s="11" t="s">
        <v>14</v>
      </c>
      <c r="N13" s="54" t="s">
        <v>101</v>
      </c>
      <c r="O13" s="43">
        <f>COUNTIFS(E:E, P13, H:H, P14)</f>
        <v>9</v>
      </c>
      <c r="P13" s="58" t="s">
        <v>17</v>
      </c>
    </row>
    <row r="14" spans="1:21" x14ac:dyDescent="0.25">
      <c r="A14" s="12">
        <v>13</v>
      </c>
      <c r="B14" s="11" t="s">
        <v>43</v>
      </c>
      <c r="C14" s="11">
        <v>18.98</v>
      </c>
      <c r="D14" s="11" t="s">
        <v>34</v>
      </c>
      <c r="E14" s="11" t="s">
        <v>12</v>
      </c>
      <c r="F14" s="12">
        <v>9</v>
      </c>
      <c r="G14" s="11" t="s">
        <v>24</v>
      </c>
      <c r="H14" s="11" t="s">
        <v>28</v>
      </c>
      <c r="P14" s="60" t="s">
        <v>25</v>
      </c>
    </row>
    <row r="15" spans="1:21" x14ac:dyDescent="0.25">
      <c r="A15" s="12">
        <v>14</v>
      </c>
      <c r="B15" s="11" t="s">
        <v>44</v>
      </c>
      <c r="C15" s="11">
        <v>18.559999999999999</v>
      </c>
      <c r="D15" s="11" t="s">
        <v>45</v>
      </c>
      <c r="E15" s="11" t="s">
        <v>12</v>
      </c>
      <c r="F15" s="12">
        <v>15</v>
      </c>
      <c r="G15" s="11" t="s">
        <v>24</v>
      </c>
      <c r="H15" s="11" t="s">
        <v>25</v>
      </c>
    </row>
    <row r="16" spans="1:21" x14ac:dyDescent="0.25">
      <c r="A16" s="12">
        <v>15</v>
      </c>
      <c r="B16" s="11" t="s">
        <v>46</v>
      </c>
      <c r="C16" s="11">
        <v>13.36</v>
      </c>
      <c r="D16" s="11" t="s">
        <v>47</v>
      </c>
      <c r="E16" s="11" t="s">
        <v>17</v>
      </c>
      <c r="F16" s="12">
        <v>5</v>
      </c>
      <c r="G16" s="11" t="s">
        <v>13</v>
      </c>
      <c r="H16" s="11" t="s">
        <v>14</v>
      </c>
    </row>
    <row r="17" spans="1:8" x14ac:dyDescent="0.25">
      <c r="A17" s="12">
        <v>16</v>
      </c>
      <c r="B17" s="11" t="s">
        <v>48</v>
      </c>
      <c r="C17" s="11">
        <v>29.98</v>
      </c>
      <c r="D17" s="11" t="s">
        <v>47</v>
      </c>
      <c r="E17" s="11" t="s">
        <v>17</v>
      </c>
      <c r="F17" s="12">
        <v>5</v>
      </c>
      <c r="G17" s="11" t="s">
        <v>13</v>
      </c>
      <c r="H17" s="11" t="s">
        <v>14</v>
      </c>
    </row>
    <row r="18" spans="1:8" x14ac:dyDescent="0.25">
      <c r="A18" s="12">
        <v>17</v>
      </c>
      <c r="B18" s="11" t="s">
        <v>29</v>
      </c>
      <c r="C18" s="11">
        <v>202.47</v>
      </c>
      <c r="D18" s="11" t="s">
        <v>49</v>
      </c>
      <c r="E18" s="11" t="s">
        <v>17</v>
      </c>
      <c r="F18" s="12">
        <v>11</v>
      </c>
      <c r="G18" s="11" t="s">
        <v>24</v>
      </c>
      <c r="H18" s="11" t="s">
        <v>25</v>
      </c>
    </row>
    <row r="19" spans="1:8" x14ac:dyDescent="0.25">
      <c r="A19" s="12">
        <v>18</v>
      </c>
      <c r="B19" s="11" t="s">
        <v>50</v>
      </c>
      <c r="C19" s="11">
        <v>35.619999999999997</v>
      </c>
      <c r="D19" s="11" t="s">
        <v>51</v>
      </c>
      <c r="E19" s="11" t="s">
        <v>17</v>
      </c>
      <c r="F19" s="12">
        <v>10</v>
      </c>
      <c r="G19" s="11" t="s">
        <v>18</v>
      </c>
      <c r="H19" s="11" t="s">
        <v>28</v>
      </c>
    </row>
    <row r="20" spans="1:8" x14ac:dyDescent="0.25">
      <c r="A20" s="12">
        <v>19</v>
      </c>
      <c r="B20" s="11" t="s">
        <v>52</v>
      </c>
      <c r="C20" s="11">
        <v>33.99</v>
      </c>
      <c r="D20" s="11" t="s">
        <v>53</v>
      </c>
      <c r="E20" s="11" t="s">
        <v>17</v>
      </c>
      <c r="F20" s="12">
        <v>9</v>
      </c>
      <c r="G20" s="11" t="s">
        <v>24</v>
      </c>
      <c r="H20" s="11" t="s">
        <v>25</v>
      </c>
    </row>
    <row r="21" spans="1:8" x14ac:dyDescent="0.25">
      <c r="A21" s="12">
        <v>20</v>
      </c>
      <c r="B21" s="11" t="s">
        <v>54</v>
      </c>
      <c r="C21" s="11">
        <v>17.2</v>
      </c>
      <c r="D21" s="11" t="s">
        <v>55</v>
      </c>
      <c r="E21" s="11" t="s">
        <v>17</v>
      </c>
      <c r="F21" s="12">
        <v>15</v>
      </c>
      <c r="G21" s="11" t="s">
        <v>24</v>
      </c>
      <c r="H21" s="11" t="s">
        <v>25</v>
      </c>
    </row>
    <row r="22" spans="1:8" x14ac:dyDescent="0.25">
      <c r="A22" s="12">
        <v>21</v>
      </c>
      <c r="B22" s="11" t="s">
        <v>56</v>
      </c>
      <c r="C22" s="11">
        <v>28.9</v>
      </c>
      <c r="D22" s="11" t="s">
        <v>57</v>
      </c>
      <c r="E22" s="11" t="s">
        <v>17</v>
      </c>
      <c r="F22" s="12">
        <v>14</v>
      </c>
      <c r="G22" s="11" t="s">
        <v>24</v>
      </c>
      <c r="H22" s="11" t="s">
        <v>28</v>
      </c>
    </row>
    <row r="23" spans="1:8" x14ac:dyDescent="0.25">
      <c r="A23" s="12">
        <v>22</v>
      </c>
      <c r="B23" s="11" t="s">
        <v>10</v>
      </c>
      <c r="C23" s="11">
        <v>43.36</v>
      </c>
      <c r="D23" s="11" t="s">
        <v>58</v>
      </c>
      <c r="E23" s="11" t="s">
        <v>17</v>
      </c>
      <c r="F23" s="12">
        <v>8</v>
      </c>
      <c r="G23" s="11" t="s">
        <v>24</v>
      </c>
      <c r="H23" s="11" t="s">
        <v>25</v>
      </c>
    </row>
    <row r="24" spans="1:8" x14ac:dyDescent="0.25">
      <c r="A24" s="12">
        <v>23</v>
      </c>
      <c r="B24" s="11" t="s">
        <v>29</v>
      </c>
      <c r="C24" s="11">
        <v>202.47</v>
      </c>
      <c r="D24" s="11" t="s">
        <v>59</v>
      </c>
      <c r="E24" s="11" t="s">
        <v>17</v>
      </c>
      <c r="F24" s="12">
        <v>11</v>
      </c>
      <c r="G24" s="11" t="s">
        <v>18</v>
      </c>
      <c r="H24" s="11" t="s">
        <v>19</v>
      </c>
    </row>
    <row r="25" spans="1:8" x14ac:dyDescent="0.25">
      <c r="A25" s="12">
        <v>24</v>
      </c>
      <c r="B25" s="11" t="s">
        <v>35</v>
      </c>
      <c r="C25" s="11">
        <v>17.98</v>
      </c>
      <c r="D25" s="11" t="s">
        <v>60</v>
      </c>
      <c r="E25" s="11" t="s">
        <v>17</v>
      </c>
      <c r="F25" s="12">
        <v>11</v>
      </c>
      <c r="G25" s="11" t="s">
        <v>13</v>
      </c>
      <c r="H25" s="11" t="s">
        <v>14</v>
      </c>
    </row>
    <row r="26" spans="1:8" x14ac:dyDescent="0.25">
      <c r="A26" s="12">
        <v>25</v>
      </c>
      <c r="B26" s="11" t="s">
        <v>61</v>
      </c>
      <c r="C26" s="11">
        <v>13.65</v>
      </c>
      <c r="D26" s="11" t="s">
        <v>62</v>
      </c>
      <c r="E26" s="11" t="s">
        <v>17</v>
      </c>
      <c r="F26" s="12">
        <v>11</v>
      </c>
      <c r="G26" s="11" t="s">
        <v>24</v>
      </c>
      <c r="H26" s="11" t="s">
        <v>25</v>
      </c>
    </row>
    <row r="27" spans="1:8" x14ac:dyDescent="0.25">
      <c r="A27" s="12">
        <v>26</v>
      </c>
      <c r="B27" s="11" t="s">
        <v>63</v>
      </c>
      <c r="C27" s="11">
        <v>458.32</v>
      </c>
      <c r="D27" s="11" t="s">
        <v>64</v>
      </c>
      <c r="E27" s="11" t="s">
        <v>17</v>
      </c>
      <c r="F27" s="12">
        <v>13</v>
      </c>
      <c r="G27" s="11" t="s">
        <v>13</v>
      </c>
      <c r="H27" s="11" t="s">
        <v>28</v>
      </c>
    </row>
    <row r="28" spans="1:8" x14ac:dyDescent="0.25">
      <c r="A28" s="12">
        <v>27</v>
      </c>
      <c r="B28" s="11" t="s">
        <v>29</v>
      </c>
      <c r="C28" s="11">
        <v>202.47</v>
      </c>
      <c r="D28" s="11" t="s">
        <v>65</v>
      </c>
      <c r="E28" s="11" t="s">
        <v>12</v>
      </c>
      <c r="F28" s="12">
        <v>11</v>
      </c>
      <c r="G28" s="11" t="s">
        <v>24</v>
      </c>
      <c r="H28" s="11" t="s">
        <v>25</v>
      </c>
    </row>
    <row r="29" spans="1:8" x14ac:dyDescent="0.25">
      <c r="A29" s="12">
        <v>28</v>
      </c>
      <c r="B29" s="11" t="s">
        <v>66</v>
      </c>
      <c r="C29" s="11">
        <v>13.89</v>
      </c>
      <c r="D29" s="11" t="s">
        <v>67</v>
      </c>
      <c r="E29" s="11" t="s">
        <v>17</v>
      </c>
      <c r="F29" s="12">
        <v>5</v>
      </c>
      <c r="G29" s="11" t="s">
        <v>24</v>
      </c>
      <c r="H29" s="11" t="s">
        <v>25</v>
      </c>
    </row>
    <row r="30" spans="1:8" x14ac:dyDescent="0.25">
      <c r="A30" s="12">
        <v>29</v>
      </c>
      <c r="B30" s="11" t="s">
        <v>29</v>
      </c>
      <c r="C30" s="11">
        <v>202.47</v>
      </c>
      <c r="D30" s="11" t="s">
        <v>68</v>
      </c>
      <c r="E30" s="11" t="s">
        <v>17</v>
      </c>
      <c r="F30" s="12">
        <v>14</v>
      </c>
      <c r="G30" s="11" t="s">
        <v>18</v>
      </c>
      <c r="H30" s="11" t="s">
        <v>28</v>
      </c>
    </row>
    <row r="31" spans="1:8" x14ac:dyDescent="0.25">
      <c r="A31" s="12">
        <v>30</v>
      </c>
      <c r="B31" s="11" t="s">
        <v>69</v>
      </c>
      <c r="C31" s="11">
        <v>30.98</v>
      </c>
      <c r="D31" s="11" t="s">
        <v>70</v>
      </c>
      <c r="E31" s="11" t="s">
        <v>12</v>
      </c>
      <c r="F31" s="12">
        <v>14</v>
      </c>
      <c r="G31" s="11" t="s">
        <v>24</v>
      </c>
      <c r="H31" s="11" t="s">
        <v>28</v>
      </c>
    </row>
    <row r="32" spans="1:8" x14ac:dyDescent="0.25">
      <c r="A32" s="12">
        <v>31</v>
      </c>
      <c r="B32" s="11" t="s">
        <v>71</v>
      </c>
      <c r="C32" s="11">
        <v>16.95</v>
      </c>
      <c r="D32" s="11" t="s">
        <v>72</v>
      </c>
      <c r="E32" s="11" t="s">
        <v>17</v>
      </c>
      <c r="F32" s="12">
        <v>11</v>
      </c>
      <c r="G32" s="11" t="s">
        <v>13</v>
      </c>
      <c r="H32" s="11" t="s">
        <v>14</v>
      </c>
    </row>
    <row r="33" spans="1:8" x14ac:dyDescent="0.25">
      <c r="A33" s="12">
        <v>32</v>
      </c>
      <c r="B33" s="11" t="s">
        <v>73</v>
      </c>
      <c r="C33" s="11">
        <v>26.85</v>
      </c>
      <c r="D33" s="11" t="s">
        <v>74</v>
      </c>
      <c r="E33" s="11" t="s">
        <v>17</v>
      </c>
      <c r="F33" s="12">
        <v>13</v>
      </c>
      <c r="G33" s="11" t="s">
        <v>18</v>
      </c>
      <c r="H33" s="11" t="s">
        <v>19</v>
      </c>
    </row>
    <row r="34" spans="1:8" x14ac:dyDescent="0.25">
      <c r="A34" s="12">
        <v>33</v>
      </c>
      <c r="B34" s="11" t="s">
        <v>71</v>
      </c>
      <c r="C34" s="11">
        <v>16.95</v>
      </c>
      <c r="D34" s="11" t="s">
        <v>75</v>
      </c>
      <c r="E34" s="11" t="s">
        <v>17</v>
      </c>
      <c r="F34" s="12">
        <v>9</v>
      </c>
      <c r="G34" s="11" t="s">
        <v>24</v>
      </c>
      <c r="H34" s="11" t="s">
        <v>25</v>
      </c>
    </row>
    <row r="35" spans="1:8" x14ac:dyDescent="0.25">
      <c r="A35" s="12">
        <v>34</v>
      </c>
      <c r="B35" s="11" t="s">
        <v>76</v>
      </c>
      <c r="C35" s="11">
        <v>65</v>
      </c>
      <c r="D35" s="11" t="s">
        <v>77</v>
      </c>
      <c r="E35" s="11" t="s">
        <v>12</v>
      </c>
      <c r="F35" s="12">
        <v>15</v>
      </c>
      <c r="G35" s="11" t="s">
        <v>18</v>
      </c>
      <c r="H35" s="11" t="s">
        <v>19</v>
      </c>
    </row>
  </sheetData>
  <autoFilter ref="A1:H35" xr:uid="{FA469472-C9E1-4B24-B703-537C72B595CD}"/>
  <mergeCells count="3">
    <mergeCell ref="K9:T9"/>
    <mergeCell ref="K2:T2"/>
    <mergeCell ref="N11:P1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4A2D-A2CC-45A5-89A7-8AF9B7C6F3FC}">
  <dimension ref="A1:V35"/>
  <sheetViews>
    <sheetView showGridLines="0" topLeftCell="C1" workbookViewId="0">
      <selection activeCell="K13" sqref="K13:V13"/>
    </sheetView>
  </sheetViews>
  <sheetFormatPr defaultRowHeight="15" x14ac:dyDescent="0.25"/>
  <cols>
    <col min="1" max="1" width="8.28515625" style="1" customWidth="1"/>
    <col min="2" max="2" width="26.7109375" bestFit="1" customWidth="1"/>
    <col min="3" max="3" width="9.28515625" customWidth="1"/>
    <col min="4" max="4" width="22.85546875" bestFit="1" customWidth="1"/>
    <col min="5" max="5" width="11" customWidth="1"/>
    <col min="6" max="6" width="10.42578125" style="1" bestFit="1" customWidth="1"/>
    <col min="7" max="7" width="22.42578125" customWidth="1"/>
    <col min="8" max="8" width="20.42578125" customWidth="1"/>
    <col min="9" max="9" width="20.42578125" style="3" customWidth="1"/>
    <col min="11" max="11" width="15.42578125" customWidth="1"/>
    <col min="14" max="14" width="12.28515625" bestFit="1" customWidth="1"/>
    <col min="15" max="15" width="11.7109375" bestFit="1" customWidth="1"/>
    <col min="16" max="17" width="16.7109375" bestFit="1" customWidth="1"/>
  </cols>
  <sheetData>
    <row r="1" spans="1:22" ht="15" customHeight="1" x14ac:dyDescent="0.25">
      <c r="A1" s="32" t="s">
        <v>0</v>
      </c>
      <c r="B1" s="32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4" t="s">
        <v>9</v>
      </c>
    </row>
    <row r="2" spans="1:22" x14ac:dyDescent="0.25">
      <c r="A2" s="14">
        <v>1</v>
      </c>
      <c r="B2" s="15" t="s">
        <v>10</v>
      </c>
      <c r="C2" s="15">
        <v>43.36</v>
      </c>
      <c r="D2" s="15" t="s">
        <v>11</v>
      </c>
      <c r="E2" s="15" t="s">
        <v>12</v>
      </c>
      <c r="F2" s="14">
        <v>7</v>
      </c>
      <c r="G2" s="15" t="s">
        <v>13</v>
      </c>
      <c r="H2" s="15" t="s">
        <v>14</v>
      </c>
      <c r="I2" s="16">
        <v>303.52</v>
      </c>
      <c r="K2" s="62"/>
    </row>
    <row r="3" spans="1:22" x14ac:dyDescent="0.25">
      <c r="A3" s="14">
        <v>2</v>
      </c>
      <c r="B3" s="15" t="s">
        <v>15</v>
      </c>
      <c r="C3" s="15">
        <v>45.36</v>
      </c>
      <c r="D3" s="15" t="s">
        <v>16</v>
      </c>
      <c r="E3" s="15" t="s">
        <v>17</v>
      </c>
      <c r="F3" s="14">
        <v>9</v>
      </c>
      <c r="G3" s="15" t="s">
        <v>18</v>
      </c>
      <c r="H3" s="15" t="s">
        <v>19</v>
      </c>
      <c r="I3" s="16">
        <v>408.24</v>
      </c>
    </row>
    <row r="4" spans="1:22" x14ac:dyDescent="0.25">
      <c r="A4" s="14">
        <v>3</v>
      </c>
      <c r="B4" s="15" t="s">
        <v>20</v>
      </c>
      <c r="C4" s="15">
        <v>12.52</v>
      </c>
      <c r="D4" s="15" t="s">
        <v>21</v>
      </c>
      <c r="E4" s="15" t="s">
        <v>12</v>
      </c>
      <c r="F4" s="14">
        <v>5</v>
      </c>
      <c r="G4" s="15" t="s">
        <v>13</v>
      </c>
      <c r="H4" s="15" t="s">
        <v>19</v>
      </c>
      <c r="I4" s="16">
        <v>62.599999999999994</v>
      </c>
      <c r="K4" s="3"/>
    </row>
    <row r="5" spans="1:22" x14ac:dyDescent="0.25">
      <c r="A5" s="14">
        <v>4</v>
      </c>
      <c r="B5" s="15" t="s">
        <v>22</v>
      </c>
      <c r="C5" s="15">
        <v>25.87</v>
      </c>
      <c r="D5" s="15" t="s">
        <v>23</v>
      </c>
      <c r="E5" s="15" t="s">
        <v>17</v>
      </c>
      <c r="F5" s="14">
        <v>7</v>
      </c>
      <c r="G5" s="15" t="s">
        <v>24</v>
      </c>
      <c r="H5" s="15" t="s">
        <v>25</v>
      </c>
      <c r="I5" s="16">
        <v>181.09</v>
      </c>
      <c r="K5" s="3"/>
    </row>
    <row r="6" spans="1:22" ht="15" customHeight="1" x14ac:dyDescent="0.25">
      <c r="A6" s="14">
        <v>5</v>
      </c>
      <c r="B6" s="15" t="s">
        <v>26</v>
      </c>
      <c r="C6" s="15">
        <v>18.559999999999999</v>
      </c>
      <c r="D6" s="15" t="s">
        <v>27</v>
      </c>
      <c r="E6" s="15" t="s">
        <v>12</v>
      </c>
      <c r="F6" s="14">
        <v>5</v>
      </c>
      <c r="G6" s="15" t="s">
        <v>24</v>
      </c>
      <c r="H6" s="15" t="s">
        <v>28</v>
      </c>
      <c r="I6" s="16">
        <v>92.8</v>
      </c>
      <c r="K6" s="66" t="s">
        <v>106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</row>
    <row r="7" spans="1:22" x14ac:dyDescent="0.25">
      <c r="A7" s="14">
        <v>6</v>
      </c>
      <c r="B7" s="15" t="s">
        <v>29</v>
      </c>
      <c r="C7" s="15">
        <v>202.47</v>
      </c>
      <c r="D7" s="15" t="s">
        <v>30</v>
      </c>
      <c r="E7" s="15" t="s">
        <v>12</v>
      </c>
      <c r="F7" s="14">
        <v>7</v>
      </c>
      <c r="G7" s="15" t="s">
        <v>24</v>
      </c>
      <c r="H7" s="15" t="s">
        <v>25</v>
      </c>
      <c r="I7" s="16">
        <v>1417.29</v>
      </c>
      <c r="K7" s="53"/>
      <c r="L7" s="53"/>
      <c r="M7" s="53"/>
      <c r="N7" s="53"/>
      <c r="O7" s="53"/>
    </row>
    <row r="8" spans="1:22" ht="15" customHeight="1" x14ac:dyDescent="0.25">
      <c r="A8" s="14">
        <v>7</v>
      </c>
      <c r="B8" s="15" t="s">
        <v>31</v>
      </c>
      <c r="C8" s="15">
        <v>13.25</v>
      </c>
      <c r="D8" s="15" t="s">
        <v>32</v>
      </c>
      <c r="E8" s="15" t="s">
        <v>17</v>
      </c>
      <c r="F8" s="14">
        <v>5</v>
      </c>
      <c r="G8" s="15" t="s">
        <v>18</v>
      </c>
      <c r="H8" s="15" t="s">
        <v>28</v>
      </c>
      <c r="I8" s="16">
        <v>66.25</v>
      </c>
      <c r="N8" s="68" t="s">
        <v>104</v>
      </c>
      <c r="O8" s="68"/>
      <c r="P8" s="68"/>
    </row>
    <row r="9" spans="1:22" x14ac:dyDescent="0.25">
      <c r="A9" s="14">
        <v>8</v>
      </c>
      <c r="B9" s="15" t="s">
        <v>33</v>
      </c>
      <c r="C9" s="15">
        <v>18.96</v>
      </c>
      <c r="D9" s="15" t="s">
        <v>34</v>
      </c>
      <c r="E9" s="15" t="s">
        <v>12</v>
      </c>
      <c r="F9" s="14">
        <v>8</v>
      </c>
      <c r="G9" s="15" t="s">
        <v>24</v>
      </c>
      <c r="H9" s="15" t="s">
        <v>28</v>
      </c>
      <c r="I9" s="16">
        <v>151.68</v>
      </c>
    </row>
    <row r="10" spans="1:22" x14ac:dyDescent="0.25">
      <c r="A10" s="14">
        <v>9</v>
      </c>
      <c r="B10" s="15" t="s">
        <v>35</v>
      </c>
      <c r="C10" s="15">
        <v>17.98</v>
      </c>
      <c r="D10" s="15" t="s">
        <v>36</v>
      </c>
      <c r="E10" s="15" t="s">
        <v>17</v>
      </c>
      <c r="F10" s="14">
        <v>14</v>
      </c>
      <c r="G10" s="15" t="s">
        <v>24</v>
      </c>
      <c r="H10" s="15" t="s">
        <v>28</v>
      </c>
      <c r="I10" s="16">
        <v>251.72</v>
      </c>
      <c r="N10" s="54" t="s">
        <v>101</v>
      </c>
      <c r="O10" s="61">
        <f>SUMIF(H:H,P10, I:I)</f>
        <v>10720.529999999999</v>
      </c>
      <c r="P10" s="13" t="s">
        <v>28</v>
      </c>
    </row>
    <row r="11" spans="1:22" x14ac:dyDescent="0.25">
      <c r="A11" s="14">
        <v>10</v>
      </c>
      <c r="B11" s="15" t="s">
        <v>37</v>
      </c>
      <c r="C11" s="15">
        <v>18.98</v>
      </c>
      <c r="D11" s="15" t="s">
        <v>38</v>
      </c>
      <c r="E11" s="15" t="s">
        <v>12</v>
      </c>
      <c r="F11" s="14">
        <v>5</v>
      </c>
      <c r="G11" s="15" t="s">
        <v>18</v>
      </c>
      <c r="H11" s="15" t="s">
        <v>19</v>
      </c>
      <c r="I11" s="16">
        <v>94.9</v>
      </c>
    </row>
    <row r="12" spans="1:22" x14ac:dyDescent="0.25">
      <c r="A12" s="14">
        <v>11</v>
      </c>
      <c r="B12" s="15" t="s">
        <v>39</v>
      </c>
      <c r="C12" s="15">
        <v>13.85</v>
      </c>
      <c r="D12" s="15" t="s">
        <v>40</v>
      </c>
      <c r="E12" s="15" t="s">
        <v>17</v>
      </c>
      <c r="F12" s="14">
        <v>14</v>
      </c>
      <c r="G12" s="15" t="s">
        <v>24</v>
      </c>
      <c r="H12" s="15" t="s">
        <v>25</v>
      </c>
      <c r="I12" s="16">
        <v>193.9</v>
      </c>
    </row>
    <row r="13" spans="1:22" x14ac:dyDescent="0.25">
      <c r="A13" s="14">
        <v>12</v>
      </c>
      <c r="B13" s="15" t="s">
        <v>41</v>
      </c>
      <c r="C13" s="15">
        <v>25.98</v>
      </c>
      <c r="D13" s="15" t="s">
        <v>42</v>
      </c>
      <c r="E13" s="15" t="s">
        <v>12</v>
      </c>
      <c r="F13" s="14">
        <v>11</v>
      </c>
      <c r="G13" s="15" t="s">
        <v>13</v>
      </c>
      <c r="H13" s="15" t="s">
        <v>14</v>
      </c>
      <c r="I13" s="16">
        <v>285.78000000000003</v>
      </c>
      <c r="K13" s="65" t="s">
        <v>107</v>
      </c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</row>
    <row r="14" spans="1:22" x14ac:dyDescent="0.25">
      <c r="A14" s="14">
        <v>13</v>
      </c>
      <c r="B14" s="15" t="s">
        <v>43</v>
      </c>
      <c r="C14" s="15">
        <v>18.98</v>
      </c>
      <c r="D14" s="15" t="s">
        <v>34</v>
      </c>
      <c r="E14" s="15" t="s">
        <v>12</v>
      </c>
      <c r="F14" s="14">
        <v>9</v>
      </c>
      <c r="G14" s="15" t="s">
        <v>24</v>
      </c>
      <c r="H14" s="15" t="s">
        <v>28</v>
      </c>
      <c r="I14" s="16">
        <v>170.82</v>
      </c>
    </row>
    <row r="15" spans="1:22" x14ac:dyDescent="0.25">
      <c r="A15" s="14">
        <v>14</v>
      </c>
      <c r="B15" s="15" t="s">
        <v>44</v>
      </c>
      <c r="C15" s="15">
        <v>18.559999999999999</v>
      </c>
      <c r="D15" s="15" t="s">
        <v>45</v>
      </c>
      <c r="E15" s="15" t="s">
        <v>12</v>
      </c>
      <c r="F15" s="14">
        <v>15</v>
      </c>
      <c r="G15" s="15" t="s">
        <v>24</v>
      </c>
      <c r="H15" s="15" t="s">
        <v>25</v>
      </c>
      <c r="I15" s="16">
        <v>278.39999999999998</v>
      </c>
      <c r="N15" s="67" t="s">
        <v>103</v>
      </c>
      <c r="O15" s="67"/>
      <c r="P15" s="67"/>
      <c r="Q15" s="67"/>
      <c r="R15" s="67"/>
    </row>
    <row r="16" spans="1:22" x14ac:dyDescent="0.25">
      <c r="A16" s="14">
        <v>15</v>
      </c>
      <c r="B16" s="15" t="s">
        <v>46</v>
      </c>
      <c r="C16" s="15">
        <v>13.36</v>
      </c>
      <c r="D16" s="15" t="s">
        <v>47</v>
      </c>
      <c r="E16" s="15" t="s">
        <v>17</v>
      </c>
      <c r="F16" s="14">
        <v>5</v>
      </c>
      <c r="G16" s="15" t="s">
        <v>13</v>
      </c>
      <c r="H16" s="15" t="s">
        <v>14</v>
      </c>
      <c r="I16" s="16">
        <v>66.8</v>
      </c>
    </row>
    <row r="17" spans="1:16" x14ac:dyDescent="0.25">
      <c r="A17" s="14">
        <v>16</v>
      </c>
      <c r="B17" s="15" t="s">
        <v>48</v>
      </c>
      <c r="C17" s="15">
        <v>29.98</v>
      </c>
      <c r="D17" s="15" t="s">
        <v>47</v>
      </c>
      <c r="E17" s="15" t="s">
        <v>17</v>
      </c>
      <c r="F17" s="14">
        <v>5</v>
      </c>
      <c r="G17" s="15" t="s">
        <v>13</v>
      </c>
      <c r="H17" s="15" t="s">
        <v>14</v>
      </c>
      <c r="I17" s="16">
        <v>149.9</v>
      </c>
      <c r="N17" s="54" t="s">
        <v>101</v>
      </c>
      <c r="O17" s="64">
        <f>SUMIFS(I:I,H:H,P17,G:G,P18)</f>
        <v>1190.2299999999998</v>
      </c>
      <c r="P17" s="60" t="s">
        <v>14</v>
      </c>
    </row>
    <row r="18" spans="1:16" x14ac:dyDescent="0.25">
      <c r="A18" s="14">
        <v>17</v>
      </c>
      <c r="B18" s="15" t="s">
        <v>29</v>
      </c>
      <c r="C18" s="15">
        <v>202.47</v>
      </c>
      <c r="D18" s="15" t="s">
        <v>49</v>
      </c>
      <c r="E18" s="15" t="s">
        <v>17</v>
      </c>
      <c r="F18" s="14">
        <v>11</v>
      </c>
      <c r="G18" s="15" t="s">
        <v>24</v>
      </c>
      <c r="H18" s="15" t="s">
        <v>25</v>
      </c>
      <c r="I18" s="16">
        <v>2227.17</v>
      </c>
      <c r="P18" s="63" t="s">
        <v>13</v>
      </c>
    </row>
    <row r="19" spans="1:16" x14ac:dyDescent="0.25">
      <c r="A19" s="14">
        <v>18</v>
      </c>
      <c r="B19" s="15" t="s">
        <v>50</v>
      </c>
      <c r="C19" s="15">
        <v>35.619999999999997</v>
      </c>
      <c r="D19" s="15" t="s">
        <v>51</v>
      </c>
      <c r="E19" s="15" t="s">
        <v>17</v>
      </c>
      <c r="F19" s="14">
        <v>10</v>
      </c>
      <c r="G19" s="15" t="s">
        <v>18</v>
      </c>
      <c r="H19" s="15" t="s">
        <v>28</v>
      </c>
      <c r="I19" s="16">
        <v>356.2</v>
      </c>
    </row>
    <row r="20" spans="1:16" x14ac:dyDescent="0.25">
      <c r="A20" s="14">
        <v>19</v>
      </c>
      <c r="B20" s="15" t="s">
        <v>52</v>
      </c>
      <c r="C20" s="15">
        <v>33.99</v>
      </c>
      <c r="D20" s="15" t="s">
        <v>53</v>
      </c>
      <c r="E20" s="15" t="s">
        <v>17</v>
      </c>
      <c r="F20" s="14">
        <v>9</v>
      </c>
      <c r="G20" s="15" t="s">
        <v>24</v>
      </c>
      <c r="H20" s="15" t="s">
        <v>25</v>
      </c>
      <c r="I20" s="16">
        <v>305.91000000000003</v>
      </c>
    </row>
    <row r="21" spans="1:16" x14ac:dyDescent="0.25">
      <c r="A21" s="14">
        <v>20</v>
      </c>
      <c r="B21" s="15" t="s">
        <v>54</v>
      </c>
      <c r="C21" s="15">
        <v>17.2</v>
      </c>
      <c r="D21" s="15" t="s">
        <v>55</v>
      </c>
      <c r="E21" s="15" t="s">
        <v>17</v>
      </c>
      <c r="F21" s="14">
        <v>15</v>
      </c>
      <c r="G21" s="15" t="s">
        <v>24</v>
      </c>
      <c r="H21" s="15" t="s">
        <v>25</v>
      </c>
      <c r="I21" s="16">
        <v>258</v>
      </c>
    </row>
    <row r="22" spans="1:16" x14ac:dyDescent="0.25">
      <c r="A22" s="14">
        <v>21</v>
      </c>
      <c r="B22" s="15" t="s">
        <v>56</v>
      </c>
      <c r="C22" s="15">
        <v>28.9</v>
      </c>
      <c r="D22" s="15" t="s">
        <v>57</v>
      </c>
      <c r="E22" s="15" t="s">
        <v>17</v>
      </c>
      <c r="F22" s="14">
        <v>14</v>
      </c>
      <c r="G22" s="15" t="s">
        <v>24</v>
      </c>
      <c r="H22" s="15" t="s">
        <v>28</v>
      </c>
      <c r="I22" s="16">
        <v>404.59999999999997</v>
      </c>
    </row>
    <row r="23" spans="1:16" x14ac:dyDescent="0.25">
      <c r="A23" s="14">
        <v>22</v>
      </c>
      <c r="B23" s="15" t="s">
        <v>10</v>
      </c>
      <c r="C23" s="15">
        <v>43.36</v>
      </c>
      <c r="D23" s="15" t="s">
        <v>58</v>
      </c>
      <c r="E23" s="15" t="s">
        <v>17</v>
      </c>
      <c r="F23" s="14">
        <v>8</v>
      </c>
      <c r="G23" s="15" t="s">
        <v>24</v>
      </c>
      <c r="H23" s="15" t="s">
        <v>25</v>
      </c>
      <c r="I23" s="16">
        <v>346.88</v>
      </c>
    </row>
    <row r="24" spans="1:16" x14ac:dyDescent="0.25">
      <c r="A24" s="14">
        <v>23</v>
      </c>
      <c r="B24" s="15" t="s">
        <v>29</v>
      </c>
      <c r="C24" s="15">
        <v>202.47</v>
      </c>
      <c r="D24" s="15" t="s">
        <v>59</v>
      </c>
      <c r="E24" s="15" t="s">
        <v>17</v>
      </c>
      <c r="F24" s="14">
        <v>11</v>
      </c>
      <c r="G24" s="15" t="s">
        <v>18</v>
      </c>
      <c r="H24" s="15" t="s">
        <v>19</v>
      </c>
      <c r="I24" s="16">
        <v>2227.17</v>
      </c>
    </row>
    <row r="25" spans="1:16" x14ac:dyDescent="0.25">
      <c r="A25" s="14">
        <v>24</v>
      </c>
      <c r="B25" s="15" t="s">
        <v>35</v>
      </c>
      <c r="C25" s="15">
        <v>17.98</v>
      </c>
      <c r="D25" s="15" t="s">
        <v>60</v>
      </c>
      <c r="E25" s="15" t="s">
        <v>17</v>
      </c>
      <c r="F25" s="14">
        <v>11</v>
      </c>
      <c r="G25" s="15" t="s">
        <v>13</v>
      </c>
      <c r="H25" s="15" t="s">
        <v>14</v>
      </c>
      <c r="I25" s="16">
        <v>197.78</v>
      </c>
    </row>
    <row r="26" spans="1:16" x14ac:dyDescent="0.25">
      <c r="A26" s="14">
        <v>25</v>
      </c>
      <c r="B26" s="15" t="s">
        <v>61</v>
      </c>
      <c r="C26" s="15">
        <v>13.65</v>
      </c>
      <c r="D26" s="15" t="s">
        <v>62</v>
      </c>
      <c r="E26" s="15" t="s">
        <v>17</v>
      </c>
      <c r="F26" s="14">
        <v>11</v>
      </c>
      <c r="G26" s="15" t="s">
        <v>24</v>
      </c>
      <c r="H26" s="15" t="s">
        <v>25</v>
      </c>
      <c r="I26" s="16">
        <v>150.15</v>
      </c>
    </row>
    <row r="27" spans="1:16" x14ac:dyDescent="0.25">
      <c r="A27" s="14">
        <v>26</v>
      </c>
      <c r="B27" s="15" t="s">
        <v>63</v>
      </c>
      <c r="C27" s="15">
        <v>458.32</v>
      </c>
      <c r="D27" s="15" t="s">
        <v>64</v>
      </c>
      <c r="E27" s="15" t="s">
        <v>17</v>
      </c>
      <c r="F27" s="14">
        <v>13</v>
      </c>
      <c r="G27" s="15" t="s">
        <v>13</v>
      </c>
      <c r="H27" s="15" t="s">
        <v>28</v>
      </c>
      <c r="I27" s="16">
        <v>5958.16</v>
      </c>
    </row>
    <row r="28" spans="1:16" x14ac:dyDescent="0.25">
      <c r="A28" s="14">
        <v>27</v>
      </c>
      <c r="B28" s="15" t="s">
        <v>29</v>
      </c>
      <c r="C28" s="15">
        <v>202.47</v>
      </c>
      <c r="D28" s="15" t="s">
        <v>65</v>
      </c>
      <c r="E28" s="15" t="s">
        <v>12</v>
      </c>
      <c r="F28" s="14">
        <v>11</v>
      </c>
      <c r="G28" s="15" t="s">
        <v>24</v>
      </c>
      <c r="H28" s="15" t="s">
        <v>25</v>
      </c>
      <c r="I28" s="16">
        <v>2227.17</v>
      </c>
    </row>
    <row r="29" spans="1:16" x14ac:dyDescent="0.25">
      <c r="A29" s="14">
        <v>28</v>
      </c>
      <c r="B29" s="15" t="s">
        <v>66</v>
      </c>
      <c r="C29" s="15">
        <v>13.89</v>
      </c>
      <c r="D29" s="15" t="s">
        <v>67</v>
      </c>
      <c r="E29" s="15" t="s">
        <v>17</v>
      </c>
      <c r="F29" s="14">
        <v>5</v>
      </c>
      <c r="G29" s="15" t="s">
        <v>24</v>
      </c>
      <c r="H29" s="15" t="s">
        <v>25</v>
      </c>
      <c r="I29" s="16">
        <v>69.45</v>
      </c>
    </row>
    <row r="30" spans="1:16" x14ac:dyDescent="0.25">
      <c r="A30" s="14">
        <v>29</v>
      </c>
      <c r="B30" s="15" t="s">
        <v>29</v>
      </c>
      <c r="C30" s="15">
        <v>202.47</v>
      </c>
      <c r="D30" s="15" t="s">
        <v>68</v>
      </c>
      <c r="E30" s="15" t="s">
        <v>17</v>
      </c>
      <c r="F30" s="14">
        <v>14</v>
      </c>
      <c r="G30" s="15" t="s">
        <v>18</v>
      </c>
      <c r="H30" s="15" t="s">
        <v>28</v>
      </c>
      <c r="I30" s="16">
        <v>2834.58</v>
      </c>
    </row>
    <row r="31" spans="1:16" x14ac:dyDescent="0.25">
      <c r="A31" s="14">
        <v>30</v>
      </c>
      <c r="B31" s="15" t="s">
        <v>69</v>
      </c>
      <c r="C31" s="15">
        <v>30.98</v>
      </c>
      <c r="D31" s="15" t="s">
        <v>70</v>
      </c>
      <c r="E31" s="15" t="s">
        <v>12</v>
      </c>
      <c r="F31" s="14">
        <v>14</v>
      </c>
      <c r="G31" s="15" t="s">
        <v>24</v>
      </c>
      <c r="H31" s="15" t="s">
        <v>28</v>
      </c>
      <c r="I31" s="16">
        <v>433.72</v>
      </c>
    </row>
    <row r="32" spans="1:16" x14ac:dyDescent="0.25">
      <c r="A32" s="14">
        <v>31</v>
      </c>
      <c r="B32" s="15" t="s">
        <v>71</v>
      </c>
      <c r="C32" s="15">
        <v>16.95</v>
      </c>
      <c r="D32" s="15" t="s">
        <v>72</v>
      </c>
      <c r="E32" s="15" t="s">
        <v>17</v>
      </c>
      <c r="F32" s="14">
        <v>11</v>
      </c>
      <c r="G32" s="15" t="s">
        <v>13</v>
      </c>
      <c r="H32" s="15" t="s">
        <v>14</v>
      </c>
      <c r="I32" s="16">
        <v>186.45</v>
      </c>
    </row>
    <row r="33" spans="1:9" x14ac:dyDescent="0.25">
      <c r="A33" s="14">
        <v>32</v>
      </c>
      <c r="B33" s="15" t="s">
        <v>73</v>
      </c>
      <c r="C33" s="15">
        <v>26.85</v>
      </c>
      <c r="D33" s="15" t="s">
        <v>74</v>
      </c>
      <c r="E33" s="15" t="s">
        <v>17</v>
      </c>
      <c r="F33" s="14">
        <v>13</v>
      </c>
      <c r="G33" s="15" t="s">
        <v>18</v>
      </c>
      <c r="H33" s="15" t="s">
        <v>19</v>
      </c>
      <c r="I33" s="16">
        <v>349.05</v>
      </c>
    </row>
    <row r="34" spans="1:9" x14ac:dyDescent="0.25">
      <c r="A34" s="14">
        <v>33</v>
      </c>
      <c r="B34" s="15" t="s">
        <v>71</v>
      </c>
      <c r="C34" s="15">
        <v>16.95</v>
      </c>
      <c r="D34" s="15" t="s">
        <v>75</v>
      </c>
      <c r="E34" s="15" t="s">
        <v>17</v>
      </c>
      <c r="F34" s="14">
        <v>9</v>
      </c>
      <c r="G34" s="15" t="s">
        <v>24</v>
      </c>
      <c r="H34" s="15" t="s">
        <v>25</v>
      </c>
      <c r="I34" s="16">
        <v>152.54999999999998</v>
      </c>
    </row>
    <row r="35" spans="1:9" x14ac:dyDescent="0.25">
      <c r="A35" s="14">
        <v>34</v>
      </c>
      <c r="B35" s="15" t="s">
        <v>76</v>
      </c>
      <c r="C35" s="15">
        <v>65</v>
      </c>
      <c r="D35" s="15" t="s">
        <v>77</v>
      </c>
      <c r="E35" s="15" t="s">
        <v>12</v>
      </c>
      <c r="F35" s="14">
        <v>15</v>
      </c>
      <c r="G35" s="15" t="s">
        <v>18</v>
      </c>
      <c r="H35" s="15" t="s">
        <v>19</v>
      </c>
      <c r="I35" s="16">
        <v>975</v>
      </c>
    </row>
  </sheetData>
  <autoFilter ref="A1:I35" xr:uid="{B00C4A2D-A2CC-45A5-89A7-8AF9B7C6F3FC}"/>
  <mergeCells count="4">
    <mergeCell ref="K6:V6"/>
    <mergeCell ref="K13:V13"/>
    <mergeCell ref="N8:P8"/>
    <mergeCell ref="N15:R1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3B50-FFAA-4324-8586-2D81EE6BC0CC}">
  <dimension ref="A1:T43"/>
  <sheetViews>
    <sheetView showGridLines="0" tabSelected="1" workbookViewId="0">
      <selection activeCell="N26" sqref="N26"/>
    </sheetView>
  </sheetViews>
  <sheetFormatPr defaultRowHeight="15" x14ac:dyDescent="0.25"/>
  <cols>
    <col min="1" max="1" width="27.85546875" style="30" bestFit="1" customWidth="1"/>
    <col min="2" max="2" width="12.140625" style="30" customWidth="1"/>
    <col min="3" max="3" width="26.7109375" style="30" bestFit="1" customWidth="1"/>
    <col min="4" max="4" width="12" style="30" customWidth="1"/>
    <col min="5" max="5" width="27.85546875" style="30" bestFit="1" customWidth="1"/>
    <col min="6" max="7" width="19.7109375" style="30" customWidth="1"/>
    <col min="8" max="8" width="14.7109375" customWidth="1"/>
    <col min="9" max="9" width="16.85546875" customWidth="1"/>
    <col min="10" max="10" width="14.7109375" customWidth="1"/>
  </cols>
  <sheetData>
    <row r="1" spans="1:20" x14ac:dyDescent="0.25">
      <c r="A1" s="19" t="s">
        <v>4</v>
      </c>
      <c r="B1" s="19" t="s">
        <v>5</v>
      </c>
      <c r="C1" s="19" t="s">
        <v>2</v>
      </c>
      <c r="D1" s="19" t="s">
        <v>6</v>
      </c>
      <c r="E1" s="19" t="s">
        <v>7</v>
      </c>
      <c r="F1" s="19" t="s">
        <v>8</v>
      </c>
      <c r="G1" s="19" t="s">
        <v>79</v>
      </c>
      <c r="I1" s="28" t="s">
        <v>4</v>
      </c>
      <c r="J1" s="21" t="s">
        <v>16</v>
      </c>
      <c r="L1" s="70" t="s">
        <v>111</v>
      </c>
      <c r="M1" s="70"/>
      <c r="N1" s="70"/>
      <c r="O1" s="70"/>
      <c r="P1" s="70"/>
      <c r="Q1" s="70"/>
    </row>
    <row r="2" spans="1:20" x14ac:dyDescent="0.25">
      <c r="A2" s="20" t="s">
        <v>11</v>
      </c>
      <c r="B2" s="20" t="s">
        <v>12</v>
      </c>
      <c r="C2" s="20" t="s">
        <v>10</v>
      </c>
      <c r="D2" s="21">
        <v>7</v>
      </c>
      <c r="E2" s="20" t="s">
        <v>13</v>
      </c>
      <c r="F2" s="20" t="s">
        <v>14</v>
      </c>
      <c r="G2" s="20" t="str">
        <f>VLOOKUP(F2,'Base de Gerentes'!A:B,2,)</f>
        <v>Carmem Silva</v>
      </c>
      <c r="I2" s="28" t="s">
        <v>79</v>
      </c>
      <c r="J2" s="29" t="str">
        <f>VLOOKUP(J1,Tabela5[#All],7,)</f>
        <v>Julia Ramos</v>
      </c>
    </row>
    <row r="3" spans="1:20" x14ac:dyDescent="0.25">
      <c r="A3" s="20" t="s">
        <v>42</v>
      </c>
      <c r="B3" s="20" t="s">
        <v>12</v>
      </c>
      <c r="C3" s="20" t="s">
        <v>41</v>
      </c>
      <c r="D3" s="21">
        <v>11</v>
      </c>
      <c r="E3" s="20" t="s">
        <v>13</v>
      </c>
      <c r="F3" s="20" t="s">
        <v>14</v>
      </c>
      <c r="G3" s="20" t="str">
        <f>VLOOKUP(F3,'Base de Gerentes'!A:B,2,)</f>
        <v>Carmem Silva</v>
      </c>
    </row>
    <row r="4" spans="1:20" x14ac:dyDescent="0.25">
      <c r="A4" s="20" t="s">
        <v>32</v>
      </c>
      <c r="B4" s="20" t="s">
        <v>17</v>
      </c>
      <c r="C4" s="20" t="s">
        <v>31</v>
      </c>
      <c r="D4" s="21">
        <v>5</v>
      </c>
      <c r="E4" s="20" t="s">
        <v>18</v>
      </c>
      <c r="F4" s="20" t="s">
        <v>28</v>
      </c>
      <c r="G4" s="20" t="str">
        <f>VLOOKUP(F4,'Base de Gerentes'!A:B,2,)</f>
        <v>Gabriel Gomes</v>
      </c>
    </row>
    <row r="5" spans="1:20" x14ac:dyDescent="0.25">
      <c r="A5" s="20" t="s">
        <v>60</v>
      </c>
      <c r="B5" s="20" t="s">
        <v>17</v>
      </c>
      <c r="C5" s="20" t="s">
        <v>35</v>
      </c>
      <c r="D5" s="21">
        <v>11</v>
      </c>
      <c r="E5" s="20" t="s">
        <v>13</v>
      </c>
      <c r="F5" s="20" t="s">
        <v>14</v>
      </c>
      <c r="G5" s="20" t="str">
        <f>VLOOKUP(F5,'Base de Gerentes'!A:B,2,)</f>
        <v>Carmem Silva</v>
      </c>
      <c r="I5" s="69" t="s">
        <v>110</v>
      </c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</row>
    <row r="6" spans="1:20" x14ac:dyDescent="0.25">
      <c r="A6" s="20" t="s">
        <v>72</v>
      </c>
      <c r="B6" s="20" t="s">
        <v>17</v>
      </c>
      <c r="C6" s="20" t="s">
        <v>71</v>
      </c>
      <c r="D6" s="21">
        <v>11</v>
      </c>
      <c r="E6" s="20" t="s">
        <v>13</v>
      </c>
      <c r="F6" s="20" t="s">
        <v>14</v>
      </c>
      <c r="G6" s="20" t="str">
        <f>VLOOKUP(F6,'Base de Gerentes'!A:B,2,)</f>
        <v>Carmem Silva</v>
      </c>
    </row>
    <row r="7" spans="1:20" x14ac:dyDescent="0.25">
      <c r="A7" s="20" t="s">
        <v>75</v>
      </c>
      <c r="B7" s="20" t="s">
        <v>17</v>
      </c>
      <c r="C7" s="20" t="s">
        <v>71</v>
      </c>
      <c r="D7" s="21">
        <v>9</v>
      </c>
      <c r="E7" s="20" t="s">
        <v>24</v>
      </c>
      <c r="F7" s="20" t="s">
        <v>25</v>
      </c>
      <c r="G7" s="20" t="str">
        <f>VLOOKUP(F7,'Base de Gerentes'!A:B,2,)</f>
        <v>Roberto Lopes</v>
      </c>
      <c r="I7" s="71" t="s">
        <v>112</v>
      </c>
      <c r="J7" s="71"/>
      <c r="K7" s="71"/>
      <c r="L7" s="71"/>
      <c r="M7" s="71"/>
      <c r="N7" s="71"/>
      <c r="O7" s="71"/>
      <c r="P7" s="71"/>
      <c r="Q7" s="71"/>
      <c r="R7" s="71"/>
      <c r="S7" s="71"/>
    </row>
    <row r="8" spans="1:20" x14ac:dyDescent="0.25">
      <c r="A8" s="20" t="s">
        <v>59</v>
      </c>
      <c r="B8" s="20" t="s">
        <v>17</v>
      </c>
      <c r="C8" s="20" t="s">
        <v>29</v>
      </c>
      <c r="D8" s="21">
        <v>11</v>
      </c>
      <c r="E8" s="20" t="s">
        <v>18</v>
      </c>
      <c r="F8" s="20" t="s">
        <v>19</v>
      </c>
      <c r="G8" s="20" t="str">
        <f>VLOOKUP(F8,'Base de Gerentes'!A:B,2,)</f>
        <v>Julia Ramos</v>
      </c>
    </row>
    <row r="9" spans="1:20" x14ac:dyDescent="0.25">
      <c r="A9" s="20" t="s">
        <v>70</v>
      </c>
      <c r="B9" s="20" t="s">
        <v>12</v>
      </c>
      <c r="C9" s="20" t="s">
        <v>69</v>
      </c>
      <c r="D9" s="21">
        <v>14</v>
      </c>
      <c r="E9" s="20" t="s">
        <v>24</v>
      </c>
      <c r="F9" s="20" t="s">
        <v>28</v>
      </c>
      <c r="G9" s="20" t="str">
        <f>VLOOKUP(F9,'Base de Gerentes'!A:B,2,)</f>
        <v>Gabriel Gomes</v>
      </c>
      <c r="I9" s="73" t="s">
        <v>114</v>
      </c>
      <c r="J9" s="72"/>
      <c r="K9" s="72"/>
      <c r="L9" s="72"/>
      <c r="M9" s="72"/>
      <c r="N9" s="72"/>
      <c r="O9" s="72"/>
      <c r="P9" s="72"/>
      <c r="Q9" s="72"/>
      <c r="R9" s="72"/>
      <c r="S9" s="72"/>
    </row>
    <row r="10" spans="1:20" x14ac:dyDescent="0.25">
      <c r="A10" s="20" t="s">
        <v>21</v>
      </c>
      <c r="B10" s="20" t="s">
        <v>12</v>
      </c>
      <c r="C10" s="20" t="s">
        <v>20</v>
      </c>
      <c r="D10" s="21">
        <v>5</v>
      </c>
      <c r="E10" s="20" t="s">
        <v>13</v>
      </c>
      <c r="F10" s="20" t="s">
        <v>19</v>
      </c>
      <c r="G10" s="20" t="str">
        <f>VLOOKUP(F10,'Base de Gerentes'!A:B,2,)</f>
        <v>Julia Ramos</v>
      </c>
      <c r="J10" s="73" t="s">
        <v>113</v>
      </c>
      <c r="K10" s="73"/>
      <c r="L10" s="73"/>
      <c r="M10" s="73"/>
      <c r="N10" s="73"/>
      <c r="O10" s="73"/>
      <c r="P10" s="73"/>
      <c r="Q10" s="73"/>
    </row>
    <row r="11" spans="1:20" x14ac:dyDescent="0.25">
      <c r="A11" s="20" t="s">
        <v>36</v>
      </c>
      <c r="B11" s="20" t="s">
        <v>17</v>
      </c>
      <c r="C11" s="20" t="s">
        <v>35</v>
      </c>
      <c r="D11" s="21">
        <v>14</v>
      </c>
      <c r="E11" s="20" t="s">
        <v>24</v>
      </c>
      <c r="F11" s="20" t="s">
        <v>28</v>
      </c>
      <c r="G11" s="20" t="str">
        <f>VLOOKUP(F11,'Base de Gerentes'!A:B,2,)</f>
        <v>Gabriel Gomes</v>
      </c>
    </row>
    <row r="12" spans="1:20" x14ac:dyDescent="0.25">
      <c r="A12" s="20" t="s">
        <v>51</v>
      </c>
      <c r="B12" s="20" t="s">
        <v>17</v>
      </c>
      <c r="C12" s="20" t="s">
        <v>50</v>
      </c>
      <c r="D12" s="21">
        <v>10</v>
      </c>
      <c r="E12" s="20" t="s">
        <v>18</v>
      </c>
      <c r="F12" s="20" t="s">
        <v>28</v>
      </c>
      <c r="G12" s="20" t="str">
        <f>VLOOKUP(F12,'Base de Gerentes'!A:B,2,)</f>
        <v>Gabriel Gomes</v>
      </c>
      <c r="I12" s="74" t="s">
        <v>115</v>
      </c>
      <c r="J12" s="74"/>
      <c r="K12" s="74"/>
      <c r="L12" s="74"/>
      <c r="M12" s="74"/>
      <c r="N12" s="74"/>
      <c r="O12" s="74"/>
      <c r="P12" s="74"/>
      <c r="Q12" s="74"/>
      <c r="R12" s="74"/>
      <c r="S12" s="74"/>
    </row>
    <row r="13" spans="1:20" x14ac:dyDescent="0.25">
      <c r="A13" s="20" t="s">
        <v>49</v>
      </c>
      <c r="B13" s="20" t="s">
        <v>17</v>
      </c>
      <c r="C13" s="20" t="s">
        <v>29</v>
      </c>
      <c r="D13" s="21">
        <v>11</v>
      </c>
      <c r="E13" s="20" t="s">
        <v>24</v>
      </c>
      <c r="F13" s="20" t="s">
        <v>25</v>
      </c>
      <c r="G13" s="20" t="str">
        <f>VLOOKUP(F13,'Base de Gerentes'!A:B,2,)</f>
        <v>Roberto Lopes</v>
      </c>
    </row>
    <row r="14" spans="1:20" x14ac:dyDescent="0.25">
      <c r="A14" s="20" t="s">
        <v>77</v>
      </c>
      <c r="B14" s="20" t="s">
        <v>12</v>
      </c>
      <c r="C14" s="20" t="s">
        <v>76</v>
      </c>
      <c r="D14" s="21">
        <v>15</v>
      </c>
      <c r="E14" s="20" t="s">
        <v>18</v>
      </c>
      <c r="F14" s="20" t="s">
        <v>19</v>
      </c>
      <c r="G14" s="20" t="str">
        <f>VLOOKUP(F14,'Base de Gerentes'!A:B,2,)</f>
        <v>Julia Ramos</v>
      </c>
    </row>
    <row r="15" spans="1:20" x14ac:dyDescent="0.25">
      <c r="A15" s="20" t="s">
        <v>74</v>
      </c>
      <c r="B15" s="20" t="s">
        <v>17</v>
      </c>
      <c r="C15" s="20" t="s">
        <v>73</v>
      </c>
      <c r="D15" s="21">
        <v>13</v>
      </c>
      <c r="E15" s="20" t="s">
        <v>18</v>
      </c>
      <c r="F15" s="20" t="s">
        <v>19</v>
      </c>
      <c r="G15" s="20" t="str">
        <f>VLOOKUP(F15,'Base de Gerentes'!A:B,2,)</f>
        <v>Julia Ramos</v>
      </c>
    </row>
    <row r="16" spans="1:20" x14ac:dyDescent="0.25">
      <c r="A16" s="20" t="s">
        <v>30</v>
      </c>
      <c r="B16" s="20" t="s">
        <v>12</v>
      </c>
      <c r="C16" s="20" t="s">
        <v>29</v>
      </c>
      <c r="D16" s="21">
        <v>7</v>
      </c>
      <c r="E16" s="20" t="s">
        <v>24</v>
      </c>
      <c r="F16" s="20" t="s">
        <v>25</v>
      </c>
      <c r="G16" s="20" t="str">
        <f>VLOOKUP(F16,'Base de Gerentes'!A:B,2,)</f>
        <v>Roberto Lopes</v>
      </c>
    </row>
    <row r="17" spans="1:7" x14ac:dyDescent="0.25">
      <c r="A17" s="20" t="s">
        <v>58</v>
      </c>
      <c r="B17" s="20" t="s">
        <v>17</v>
      </c>
      <c r="C17" s="20" t="s">
        <v>10</v>
      </c>
      <c r="D17" s="21">
        <v>8</v>
      </c>
      <c r="E17" s="20" t="s">
        <v>24</v>
      </c>
      <c r="F17" s="20" t="s">
        <v>25</v>
      </c>
      <c r="G17" s="20" t="str">
        <f>VLOOKUP(F17,'Base de Gerentes'!A:B,2,)</f>
        <v>Roberto Lopes</v>
      </c>
    </row>
    <row r="18" spans="1:7" x14ac:dyDescent="0.25">
      <c r="A18" s="20" t="s">
        <v>64</v>
      </c>
      <c r="B18" s="20" t="s">
        <v>17</v>
      </c>
      <c r="C18" s="20" t="s">
        <v>63</v>
      </c>
      <c r="D18" s="21">
        <v>13</v>
      </c>
      <c r="E18" s="20" t="s">
        <v>13</v>
      </c>
      <c r="F18" s="20" t="s">
        <v>28</v>
      </c>
      <c r="G18" s="20" t="str">
        <f>VLOOKUP(F18,'Base de Gerentes'!A:B,2,)</f>
        <v>Gabriel Gomes</v>
      </c>
    </row>
    <row r="19" spans="1:7" x14ac:dyDescent="0.25">
      <c r="A19" s="20" t="s">
        <v>16</v>
      </c>
      <c r="B19" s="20" t="s">
        <v>17</v>
      </c>
      <c r="C19" s="20" t="s">
        <v>15</v>
      </c>
      <c r="D19" s="21">
        <v>9</v>
      </c>
      <c r="E19" s="20" t="s">
        <v>18</v>
      </c>
      <c r="F19" s="20" t="s">
        <v>19</v>
      </c>
      <c r="G19" s="20" t="str">
        <f>VLOOKUP(F19,'Base de Gerentes'!A:B,2,)</f>
        <v>Julia Ramos</v>
      </c>
    </row>
    <row r="20" spans="1:7" x14ac:dyDescent="0.25">
      <c r="A20" s="20" t="s">
        <v>65</v>
      </c>
      <c r="B20" s="20" t="s">
        <v>12</v>
      </c>
      <c r="C20" s="20" t="s">
        <v>29</v>
      </c>
      <c r="D20" s="21">
        <v>11</v>
      </c>
      <c r="E20" s="20" t="s">
        <v>24</v>
      </c>
      <c r="F20" s="20" t="s">
        <v>25</v>
      </c>
      <c r="G20" s="20" t="str">
        <f>VLOOKUP(F20,'Base de Gerentes'!A:B,2,)</f>
        <v>Roberto Lopes</v>
      </c>
    </row>
    <row r="21" spans="1:7" x14ac:dyDescent="0.25">
      <c r="A21" s="20" t="s">
        <v>62</v>
      </c>
      <c r="B21" s="20" t="s">
        <v>17</v>
      </c>
      <c r="C21" s="20" t="s">
        <v>61</v>
      </c>
      <c r="D21" s="21">
        <v>11</v>
      </c>
      <c r="E21" s="20" t="s">
        <v>24</v>
      </c>
      <c r="F21" s="20" t="s">
        <v>25</v>
      </c>
      <c r="G21" s="20" t="str">
        <f>VLOOKUP(F21,'Base de Gerentes'!A:B,2,)</f>
        <v>Roberto Lopes</v>
      </c>
    </row>
    <row r="22" spans="1:7" x14ac:dyDescent="0.25">
      <c r="A22" s="20" t="s">
        <v>68</v>
      </c>
      <c r="B22" s="20" t="s">
        <v>17</v>
      </c>
      <c r="C22" s="20" t="s">
        <v>29</v>
      </c>
      <c r="D22" s="21">
        <v>14</v>
      </c>
      <c r="E22" s="20" t="s">
        <v>18</v>
      </c>
      <c r="F22" s="20" t="s">
        <v>28</v>
      </c>
      <c r="G22" s="20" t="str">
        <f>VLOOKUP(F22,'Base de Gerentes'!A:B,2,)</f>
        <v>Gabriel Gomes</v>
      </c>
    </row>
    <row r="23" spans="1:7" x14ac:dyDescent="0.25">
      <c r="A23" s="20" t="s">
        <v>45</v>
      </c>
      <c r="B23" s="20" t="s">
        <v>12</v>
      </c>
      <c r="C23" s="20" t="s">
        <v>44</v>
      </c>
      <c r="D23" s="21">
        <v>15</v>
      </c>
      <c r="E23" s="20" t="s">
        <v>24</v>
      </c>
      <c r="F23" s="20" t="s">
        <v>25</v>
      </c>
      <c r="G23" s="20" t="str">
        <f>VLOOKUP(F23,'Base de Gerentes'!A:B,2,)</f>
        <v>Roberto Lopes</v>
      </c>
    </row>
    <row r="24" spans="1:7" x14ac:dyDescent="0.25">
      <c r="A24" s="20" t="s">
        <v>38</v>
      </c>
      <c r="B24" s="20" t="s">
        <v>12</v>
      </c>
      <c r="C24" s="20" t="s">
        <v>37</v>
      </c>
      <c r="D24" s="21">
        <v>5</v>
      </c>
      <c r="E24" s="20" t="s">
        <v>18</v>
      </c>
      <c r="F24" s="20" t="s">
        <v>19</v>
      </c>
      <c r="G24" s="20" t="str">
        <f>VLOOKUP(F24,'Base de Gerentes'!A:B,2,)</f>
        <v>Julia Ramos</v>
      </c>
    </row>
    <row r="25" spans="1:7" x14ac:dyDescent="0.25">
      <c r="A25" s="20" t="s">
        <v>55</v>
      </c>
      <c r="B25" s="20" t="s">
        <v>17</v>
      </c>
      <c r="C25" s="20" t="s">
        <v>54</v>
      </c>
      <c r="D25" s="21">
        <v>15</v>
      </c>
      <c r="E25" s="20" t="s">
        <v>24</v>
      </c>
      <c r="F25" s="20" t="s">
        <v>25</v>
      </c>
      <c r="G25" s="20" t="str">
        <f>VLOOKUP(F25,'Base de Gerentes'!A:B,2,)</f>
        <v>Roberto Lopes</v>
      </c>
    </row>
    <row r="26" spans="1:7" x14ac:dyDescent="0.25">
      <c r="A26" s="20" t="s">
        <v>47</v>
      </c>
      <c r="B26" s="20" t="s">
        <v>17</v>
      </c>
      <c r="C26" s="20" t="s">
        <v>46</v>
      </c>
      <c r="D26" s="21">
        <v>5</v>
      </c>
      <c r="E26" s="20" t="s">
        <v>13</v>
      </c>
      <c r="F26" s="20" t="s">
        <v>14</v>
      </c>
      <c r="G26" s="20" t="str">
        <f>VLOOKUP(F26,'Base de Gerentes'!A:B,2,)</f>
        <v>Carmem Silva</v>
      </c>
    </row>
    <row r="27" spans="1:7" x14ac:dyDescent="0.25">
      <c r="A27" s="20" t="s">
        <v>47</v>
      </c>
      <c r="B27" s="20" t="s">
        <v>17</v>
      </c>
      <c r="C27" s="20" t="s">
        <v>48</v>
      </c>
      <c r="D27" s="21">
        <v>5</v>
      </c>
      <c r="E27" s="20" t="s">
        <v>13</v>
      </c>
      <c r="F27" s="20" t="s">
        <v>14</v>
      </c>
      <c r="G27" s="20" t="str">
        <f>VLOOKUP(F27,'Base de Gerentes'!A:B,2,)</f>
        <v>Carmem Silva</v>
      </c>
    </row>
    <row r="28" spans="1:7" x14ac:dyDescent="0.25">
      <c r="A28" s="20" t="s">
        <v>27</v>
      </c>
      <c r="B28" s="20" t="s">
        <v>12</v>
      </c>
      <c r="C28" s="20" t="s">
        <v>26</v>
      </c>
      <c r="D28" s="21">
        <v>5</v>
      </c>
      <c r="E28" s="20" t="s">
        <v>24</v>
      </c>
      <c r="F28" s="20" t="s">
        <v>25</v>
      </c>
      <c r="G28" s="20" t="str">
        <f>VLOOKUP(F28,'Base de Gerentes'!A:B,2,)</f>
        <v>Roberto Lopes</v>
      </c>
    </row>
    <row r="29" spans="1:7" x14ac:dyDescent="0.25">
      <c r="A29" s="20" t="s">
        <v>67</v>
      </c>
      <c r="B29" s="20" t="s">
        <v>17</v>
      </c>
      <c r="C29" s="20" t="s">
        <v>66</v>
      </c>
      <c r="D29" s="21">
        <v>5</v>
      </c>
      <c r="E29" s="20" t="s">
        <v>24</v>
      </c>
      <c r="F29" s="20" t="s">
        <v>25</v>
      </c>
      <c r="G29" s="20" t="str">
        <f>VLOOKUP(F29,'Base de Gerentes'!A:B,2,)</f>
        <v>Roberto Lopes</v>
      </c>
    </row>
    <row r="30" spans="1:7" x14ac:dyDescent="0.25">
      <c r="A30" s="20" t="s">
        <v>40</v>
      </c>
      <c r="B30" s="20" t="s">
        <v>17</v>
      </c>
      <c r="C30" s="20" t="s">
        <v>39</v>
      </c>
      <c r="D30" s="21">
        <v>14</v>
      </c>
      <c r="E30" s="20" t="s">
        <v>24</v>
      </c>
      <c r="F30" s="20" t="s">
        <v>25</v>
      </c>
      <c r="G30" s="20" t="str">
        <f>VLOOKUP(F30,'Base de Gerentes'!A:B,2,)</f>
        <v>Roberto Lopes</v>
      </c>
    </row>
    <row r="31" spans="1:7" x14ac:dyDescent="0.25">
      <c r="A31" s="20" t="s">
        <v>53</v>
      </c>
      <c r="B31" s="20" t="s">
        <v>17</v>
      </c>
      <c r="C31" s="20" t="s">
        <v>52</v>
      </c>
      <c r="D31" s="21">
        <v>9</v>
      </c>
      <c r="E31" s="20" t="s">
        <v>24</v>
      </c>
      <c r="F31" s="20" t="s">
        <v>25</v>
      </c>
      <c r="G31" s="20" t="str">
        <f>VLOOKUP(F31,'Base de Gerentes'!A:B,2,)</f>
        <v>Roberto Lopes</v>
      </c>
    </row>
    <row r="32" spans="1:7" x14ac:dyDescent="0.25">
      <c r="A32" s="20" t="s">
        <v>34</v>
      </c>
      <c r="B32" s="20" t="s">
        <v>12</v>
      </c>
      <c r="C32" s="20" t="s">
        <v>33</v>
      </c>
      <c r="D32" s="21">
        <v>8</v>
      </c>
      <c r="E32" s="20" t="s">
        <v>24</v>
      </c>
      <c r="F32" s="20" t="s">
        <v>28</v>
      </c>
      <c r="G32" s="20" t="str">
        <f>VLOOKUP(F32,'Base de Gerentes'!A:B,2,)</f>
        <v>Gabriel Gomes</v>
      </c>
    </row>
    <row r="33" spans="1:7" x14ac:dyDescent="0.25">
      <c r="A33" s="20" t="s">
        <v>34</v>
      </c>
      <c r="B33" s="20" t="s">
        <v>12</v>
      </c>
      <c r="C33" s="20" t="s">
        <v>43</v>
      </c>
      <c r="D33" s="21">
        <v>9</v>
      </c>
      <c r="E33" s="20" t="s">
        <v>24</v>
      </c>
      <c r="F33" s="20" t="s">
        <v>28</v>
      </c>
      <c r="G33" s="20" t="str">
        <f>VLOOKUP(F33,'Base de Gerentes'!A:B,2,)</f>
        <v>Gabriel Gomes</v>
      </c>
    </row>
    <row r="34" spans="1:7" x14ac:dyDescent="0.25">
      <c r="A34" s="20" t="s">
        <v>57</v>
      </c>
      <c r="B34" s="20" t="s">
        <v>17</v>
      </c>
      <c r="C34" s="20" t="s">
        <v>56</v>
      </c>
      <c r="D34" s="21">
        <v>14</v>
      </c>
      <c r="E34" s="20" t="s">
        <v>24</v>
      </c>
      <c r="F34" s="20" t="s">
        <v>28</v>
      </c>
      <c r="G34" s="20" t="str">
        <f>VLOOKUP(F34,'Base de Gerentes'!A:B,2,)</f>
        <v>Gabriel Gomes</v>
      </c>
    </row>
    <row r="35" spans="1:7" x14ac:dyDescent="0.25">
      <c r="A35" s="20" t="s">
        <v>23</v>
      </c>
      <c r="B35" s="20" t="s">
        <v>17</v>
      </c>
      <c r="C35" s="20" t="s">
        <v>22</v>
      </c>
      <c r="D35" s="21">
        <v>7</v>
      </c>
      <c r="E35" s="20" t="s">
        <v>24</v>
      </c>
      <c r="F35" s="20" t="s">
        <v>25</v>
      </c>
      <c r="G35" s="20" t="str">
        <f>VLOOKUP(F35,'Base de Gerentes'!A:B,2,)</f>
        <v>Roberto Lopes</v>
      </c>
    </row>
    <row r="36" spans="1:7" x14ac:dyDescent="0.25">
      <c r="A36"/>
      <c r="B36"/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</sheetData>
  <mergeCells count="6">
    <mergeCell ref="I5:T5"/>
    <mergeCell ref="L1:Q1"/>
    <mergeCell ref="I9:S9"/>
    <mergeCell ref="J10:Q10"/>
    <mergeCell ref="I12:S12"/>
    <mergeCell ref="I7:S7"/>
  </mergeCells>
  <phoneticPr fontId="5" type="noConversion"/>
  <dataValidations disablePrompts="1" count="1">
    <dataValidation type="list" allowBlank="1" showInputMessage="1" showErrorMessage="1" sqref="B2:B35" xr:uid="{F9E1B015-2713-4476-9881-9BB5E81FBE5A}">
      <formula1>"Feminino,Masculino,Outros"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A35A-C318-414B-9391-6442CB704F91}">
  <dimension ref="A1:E10"/>
  <sheetViews>
    <sheetView showGridLines="0" workbookViewId="0"/>
  </sheetViews>
  <sheetFormatPr defaultRowHeight="15" x14ac:dyDescent="0.25"/>
  <cols>
    <col min="1" max="1" width="34.28515625" customWidth="1"/>
    <col min="2" max="2" width="24.28515625" customWidth="1"/>
    <col min="3" max="3" width="23.140625" customWidth="1"/>
    <col min="4" max="4" width="24.5703125" customWidth="1"/>
    <col min="5" max="5" width="22.7109375" customWidth="1"/>
    <col min="6" max="6" width="13.7109375" bestFit="1" customWidth="1"/>
    <col min="7" max="7" width="15.28515625" customWidth="1"/>
  </cols>
  <sheetData>
    <row r="1" spans="1:5" x14ac:dyDescent="0.25">
      <c r="A1" s="42" t="s">
        <v>79</v>
      </c>
      <c r="B1" s="40" t="s">
        <v>80</v>
      </c>
      <c r="C1" s="40" t="s">
        <v>81</v>
      </c>
      <c r="D1" s="41" t="s">
        <v>83</v>
      </c>
      <c r="E1" s="40" t="s">
        <v>82</v>
      </c>
    </row>
    <row r="2" spans="1:5" x14ac:dyDescent="0.25">
      <c r="A2" s="42" t="s">
        <v>8</v>
      </c>
      <c r="B2" s="40" t="s">
        <v>14</v>
      </c>
      <c r="C2" s="40" t="s">
        <v>19</v>
      </c>
      <c r="D2" s="40" t="s">
        <v>28</v>
      </c>
      <c r="E2" s="40" t="s">
        <v>25</v>
      </c>
    </row>
    <row r="3" spans="1:5" x14ac:dyDescent="0.25">
      <c r="A3" s="42" t="s">
        <v>92</v>
      </c>
      <c r="B3" s="43" t="s">
        <v>95</v>
      </c>
      <c r="C3" s="40" t="s">
        <v>96</v>
      </c>
      <c r="D3" s="40" t="s">
        <v>94</v>
      </c>
      <c r="E3" s="40" t="s">
        <v>93</v>
      </c>
    </row>
    <row r="4" spans="1:5" x14ac:dyDescent="0.25">
      <c r="A4" s="42" t="s">
        <v>97</v>
      </c>
      <c r="B4" s="40" t="s">
        <v>91</v>
      </c>
      <c r="C4" s="40" t="s">
        <v>90</v>
      </c>
      <c r="D4" s="40" t="s">
        <v>89</v>
      </c>
      <c r="E4" s="40" t="s">
        <v>88</v>
      </c>
    </row>
    <row r="5" spans="1:5" x14ac:dyDescent="0.25">
      <c r="A5" s="42" t="s">
        <v>98</v>
      </c>
      <c r="B5" s="40" t="s">
        <v>13</v>
      </c>
      <c r="C5" s="40" t="s">
        <v>18</v>
      </c>
      <c r="D5" s="40" t="s">
        <v>24</v>
      </c>
      <c r="E5" s="40" t="s">
        <v>24</v>
      </c>
    </row>
    <row r="6" spans="1:5" x14ac:dyDescent="0.25">
      <c r="A6" s="42" t="s">
        <v>9</v>
      </c>
      <c r="B6" s="44">
        <v>819.91</v>
      </c>
      <c r="C6" s="44">
        <v>4116.96</v>
      </c>
      <c r="D6" s="44">
        <v>10635.65</v>
      </c>
      <c r="E6" s="44">
        <v>7959.64</v>
      </c>
    </row>
    <row r="9" spans="1:5" x14ac:dyDescent="0.25">
      <c r="B9" s="39" t="s">
        <v>79</v>
      </c>
      <c r="C9" s="31" t="s">
        <v>82</v>
      </c>
    </row>
    <row r="10" spans="1:5" x14ac:dyDescent="0.25">
      <c r="B10" s="42" t="s">
        <v>97</v>
      </c>
      <c r="C10" s="31" t="s">
        <v>88</v>
      </c>
    </row>
  </sheetData>
  <dataValidations count="1">
    <dataValidation type="list" allowBlank="1" showInputMessage="1" showErrorMessage="1" sqref="C9" xr:uid="{08042CAA-5306-4348-91BD-20F9C9CB026D}">
      <formula1>"Carmem Silva, Julia Ramos, Gabriel Gomes, Roberto Lopes"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824F-3E35-4332-B9AF-E411F97717E1}">
  <dimension ref="A1:B5"/>
  <sheetViews>
    <sheetView showGridLines="0" workbookViewId="0">
      <selection activeCell="H24" sqref="H24"/>
    </sheetView>
  </sheetViews>
  <sheetFormatPr defaultRowHeight="15" x14ac:dyDescent="0.25"/>
  <cols>
    <col min="1" max="1" width="19.7109375" customWidth="1"/>
    <col min="2" max="2" width="18.28515625" customWidth="1"/>
  </cols>
  <sheetData>
    <row r="1" spans="1:2" x14ac:dyDescent="0.25">
      <c r="A1" s="18" t="s">
        <v>8</v>
      </c>
      <c r="B1" s="18" t="s">
        <v>79</v>
      </c>
    </row>
    <row r="2" spans="1:2" x14ac:dyDescent="0.25">
      <c r="A2" s="17" t="s">
        <v>14</v>
      </c>
      <c r="B2" s="17" t="s">
        <v>80</v>
      </c>
    </row>
    <row r="3" spans="1:2" x14ac:dyDescent="0.25">
      <c r="A3" s="17" t="s">
        <v>19</v>
      </c>
      <c r="B3" s="17" t="s">
        <v>81</v>
      </c>
    </row>
    <row r="4" spans="1:2" x14ac:dyDescent="0.25">
      <c r="A4" s="17" t="s">
        <v>25</v>
      </c>
      <c r="B4" s="17" t="s">
        <v>82</v>
      </c>
    </row>
    <row r="5" spans="1:2" x14ac:dyDescent="0.25">
      <c r="A5" s="17" t="s">
        <v>28</v>
      </c>
      <c r="B5" s="17" t="s">
        <v>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F63A-A48A-466D-9D12-E052B07C29AE}">
  <dimension ref="A1:L35"/>
  <sheetViews>
    <sheetView showGridLines="0" workbookViewId="0"/>
  </sheetViews>
  <sheetFormatPr defaultRowHeight="15" x14ac:dyDescent="0.25"/>
  <cols>
    <col min="1" max="1" width="8.85546875" style="1"/>
    <col min="2" max="2" width="12.85546875" style="45" bestFit="1" customWidth="1"/>
    <col min="3" max="3" width="26.7109375" bestFit="1" customWidth="1"/>
    <col min="4" max="4" width="11.28515625" style="3" customWidth="1"/>
    <col min="5" max="5" width="22.85546875" bestFit="1" customWidth="1"/>
    <col min="6" max="6" width="11.7109375" customWidth="1"/>
    <col min="7" max="7" width="10.42578125" style="1" bestFit="1" customWidth="1"/>
    <col min="8" max="8" width="16.7109375" customWidth="1"/>
    <col min="9" max="9" width="17.28515625" customWidth="1"/>
    <col min="10" max="10" width="22.7109375" customWidth="1"/>
    <col min="11" max="11" width="23.7109375" customWidth="1"/>
    <col min="12" max="12" width="18.7109375" style="3" customWidth="1"/>
  </cols>
  <sheetData>
    <row r="1" spans="1:12" x14ac:dyDescent="0.25">
      <c r="A1" s="46" t="s">
        <v>0</v>
      </c>
      <c r="B1" s="47" t="s">
        <v>1</v>
      </c>
      <c r="C1" s="46" t="s">
        <v>2</v>
      </c>
      <c r="D1" s="48" t="s">
        <v>3</v>
      </c>
      <c r="E1" s="46" t="s">
        <v>4</v>
      </c>
      <c r="F1" s="46" t="s">
        <v>5</v>
      </c>
      <c r="G1" s="46" t="s">
        <v>6</v>
      </c>
      <c r="H1" s="46" t="s">
        <v>8</v>
      </c>
      <c r="I1" s="46" t="s">
        <v>79</v>
      </c>
      <c r="J1" s="46" t="s">
        <v>7</v>
      </c>
      <c r="K1" s="46" t="s">
        <v>78</v>
      </c>
      <c r="L1" s="48" t="s">
        <v>9</v>
      </c>
    </row>
    <row r="2" spans="1:12" x14ac:dyDescent="0.25">
      <c r="A2" s="49">
        <v>1</v>
      </c>
      <c r="B2" s="50">
        <v>42980</v>
      </c>
      <c r="C2" s="51" t="s">
        <v>10</v>
      </c>
      <c r="D2" s="52">
        <v>43.36</v>
      </c>
      <c r="E2" s="51" t="s">
        <v>11</v>
      </c>
      <c r="F2" s="51" t="s">
        <v>12</v>
      </c>
      <c r="G2" s="49">
        <v>7</v>
      </c>
      <c r="H2" s="51" t="s">
        <v>14</v>
      </c>
      <c r="I2" s="51" t="str">
        <f>VLOOKUP(H2,'Base de Gerentes'!A:B,2,)</f>
        <v>Carmem Silva</v>
      </c>
      <c r="J2" s="51" t="s">
        <v>13</v>
      </c>
      <c r="K2" s="51" t="s">
        <v>99</v>
      </c>
      <c r="L2" s="52">
        <v>303.52</v>
      </c>
    </row>
    <row r="3" spans="1:12" x14ac:dyDescent="0.25">
      <c r="A3" s="49">
        <v>2</v>
      </c>
      <c r="B3" s="50">
        <v>42535</v>
      </c>
      <c r="C3" s="51" t="s">
        <v>15</v>
      </c>
      <c r="D3" s="52">
        <v>45.36</v>
      </c>
      <c r="E3" s="51" t="s">
        <v>16</v>
      </c>
      <c r="F3" s="51" t="s">
        <v>17</v>
      </c>
      <c r="G3" s="49">
        <v>9</v>
      </c>
      <c r="H3" s="51" t="s">
        <v>19</v>
      </c>
      <c r="I3" s="51" t="str">
        <f>VLOOKUP(H3,'Base de Gerentes'!A:B,2,)</f>
        <v>Julia Ramos</v>
      </c>
      <c r="J3" s="51" t="s">
        <v>18</v>
      </c>
      <c r="K3" s="51" t="s">
        <v>100</v>
      </c>
      <c r="L3" s="52">
        <v>408.24</v>
      </c>
    </row>
    <row r="4" spans="1:12" x14ac:dyDescent="0.25">
      <c r="A4" s="49">
        <v>3</v>
      </c>
      <c r="B4" s="50">
        <v>43946</v>
      </c>
      <c r="C4" s="51" t="s">
        <v>20</v>
      </c>
      <c r="D4" s="52">
        <v>12.52</v>
      </c>
      <c r="E4" s="51" t="s">
        <v>21</v>
      </c>
      <c r="F4" s="51" t="s">
        <v>12</v>
      </c>
      <c r="G4" s="49">
        <v>5</v>
      </c>
      <c r="H4" s="51" t="s">
        <v>19</v>
      </c>
      <c r="I4" s="51" t="str">
        <f>VLOOKUP(H4,'Base de Gerentes'!A:B,2,)</f>
        <v>Julia Ramos</v>
      </c>
      <c r="J4" s="51" t="s">
        <v>13</v>
      </c>
      <c r="K4" s="51" t="s">
        <v>99</v>
      </c>
      <c r="L4" s="52">
        <v>62.599999999999994</v>
      </c>
    </row>
    <row r="5" spans="1:12" x14ac:dyDescent="0.25">
      <c r="A5" s="49">
        <v>4</v>
      </c>
      <c r="B5" s="50">
        <v>42200</v>
      </c>
      <c r="C5" s="51" t="s">
        <v>22</v>
      </c>
      <c r="D5" s="52">
        <v>25.87</v>
      </c>
      <c r="E5" s="51" t="s">
        <v>23</v>
      </c>
      <c r="F5" s="51" t="s">
        <v>17</v>
      </c>
      <c r="G5" s="49">
        <v>7</v>
      </c>
      <c r="H5" s="51" t="s">
        <v>25</v>
      </c>
      <c r="I5" s="51" t="str">
        <f>VLOOKUP(H5,'Base de Gerentes'!A:B,2,)</f>
        <v>Roberto Lopes</v>
      </c>
      <c r="J5" s="51" t="s">
        <v>24</v>
      </c>
      <c r="K5" s="51" t="s">
        <v>100</v>
      </c>
      <c r="L5" s="52">
        <v>181.09</v>
      </c>
    </row>
    <row r="6" spans="1:12" x14ac:dyDescent="0.25">
      <c r="A6" s="49">
        <v>5</v>
      </c>
      <c r="B6" s="50">
        <v>43836</v>
      </c>
      <c r="C6" s="51" t="s">
        <v>26</v>
      </c>
      <c r="D6" s="52">
        <v>18.559999999999999</v>
      </c>
      <c r="E6" s="51" t="s">
        <v>27</v>
      </c>
      <c r="F6" s="51" t="s">
        <v>12</v>
      </c>
      <c r="G6" s="49">
        <v>5</v>
      </c>
      <c r="H6" s="51" t="s">
        <v>28</v>
      </c>
      <c r="I6" s="51" t="str">
        <f>VLOOKUP(H6,'Base de Gerentes'!A:B,2,)</f>
        <v>Gabriel Gomes</v>
      </c>
      <c r="J6" s="51" t="s">
        <v>24</v>
      </c>
      <c r="K6" s="51" t="s">
        <v>100</v>
      </c>
      <c r="L6" s="52">
        <v>92.8</v>
      </c>
    </row>
    <row r="7" spans="1:12" x14ac:dyDescent="0.25">
      <c r="A7" s="49">
        <v>6</v>
      </c>
      <c r="B7" s="50">
        <v>42081</v>
      </c>
      <c r="C7" s="51" t="s">
        <v>29</v>
      </c>
      <c r="D7" s="52">
        <v>202.47</v>
      </c>
      <c r="E7" s="51" t="s">
        <v>30</v>
      </c>
      <c r="F7" s="51" t="s">
        <v>12</v>
      </c>
      <c r="G7" s="49">
        <v>7</v>
      </c>
      <c r="H7" s="51" t="s">
        <v>25</v>
      </c>
      <c r="I7" s="51" t="str">
        <f>VLOOKUP(H7,'Base de Gerentes'!A:B,2,)</f>
        <v>Roberto Lopes</v>
      </c>
      <c r="J7" s="51" t="s">
        <v>24</v>
      </c>
      <c r="K7" s="51" t="s">
        <v>100</v>
      </c>
      <c r="L7" s="52">
        <v>1417.29</v>
      </c>
    </row>
    <row r="8" spans="1:12" x14ac:dyDescent="0.25">
      <c r="A8" s="49">
        <v>7</v>
      </c>
      <c r="B8" s="50">
        <v>43896</v>
      </c>
      <c r="C8" s="51" t="s">
        <v>31</v>
      </c>
      <c r="D8" s="52">
        <v>13.25</v>
      </c>
      <c r="E8" s="51" t="s">
        <v>32</v>
      </c>
      <c r="F8" s="51" t="s">
        <v>17</v>
      </c>
      <c r="G8" s="49">
        <v>5</v>
      </c>
      <c r="H8" s="51" t="s">
        <v>28</v>
      </c>
      <c r="I8" s="51" t="str">
        <f>VLOOKUP(H8,'Base de Gerentes'!A:B,2,)</f>
        <v>Gabriel Gomes</v>
      </c>
      <c r="J8" s="51" t="s">
        <v>18</v>
      </c>
      <c r="K8" s="51" t="s">
        <v>100</v>
      </c>
      <c r="L8" s="52">
        <v>66.25</v>
      </c>
    </row>
    <row r="9" spans="1:12" x14ac:dyDescent="0.25">
      <c r="A9" s="49">
        <v>8</v>
      </c>
      <c r="B9" s="50">
        <v>43141</v>
      </c>
      <c r="C9" s="51" t="s">
        <v>33</v>
      </c>
      <c r="D9" s="52">
        <v>18.96</v>
      </c>
      <c r="E9" s="51" t="s">
        <v>34</v>
      </c>
      <c r="F9" s="51" t="s">
        <v>12</v>
      </c>
      <c r="G9" s="49">
        <v>8</v>
      </c>
      <c r="H9" s="51" t="s">
        <v>28</v>
      </c>
      <c r="I9" s="51" t="str">
        <f>VLOOKUP(H9,'Base de Gerentes'!A:B,2,)</f>
        <v>Gabriel Gomes</v>
      </c>
      <c r="J9" s="51" t="s">
        <v>24</v>
      </c>
      <c r="K9" s="51" t="s">
        <v>100</v>
      </c>
      <c r="L9" s="52">
        <v>151.68</v>
      </c>
    </row>
    <row r="10" spans="1:12" x14ac:dyDescent="0.25">
      <c r="A10" s="49">
        <v>9</v>
      </c>
      <c r="B10" s="50">
        <v>43441</v>
      </c>
      <c r="C10" s="51" t="s">
        <v>35</v>
      </c>
      <c r="D10" s="52">
        <v>17.98</v>
      </c>
      <c r="E10" s="51" t="s">
        <v>36</v>
      </c>
      <c r="F10" s="51" t="s">
        <v>17</v>
      </c>
      <c r="G10" s="49">
        <v>14</v>
      </c>
      <c r="H10" s="51" t="s">
        <v>28</v>
      </c>
      <c r="I10" s="51" t="str">
        <f>VLOOKUP(H10,'Base de Gerentes'!A:B,2,)</f>
        <v>Gabriel Gomes</v>
      </c>
      <c r="J10" s="51" t="s">
        <v>24</v>
      </c>
      <c r="K10" s="51" t="s">
        <v>100</v>
      </c>
      <c r="L10" s="52">
        <v>251.72</v>
      </c>
    </row>
    <row r="11" spans="1:12" x14ac:dyDescent="0.25">
      <c r="A11" s="49">
        <v>10</v>
      </c>
      <c r="B11" s="50">
        <v>43901</v>
      </c>
      <c r="C11" s="51" t="s">
        <v>37</v>
      </c>
      <c r="D11" s="52">
        <v>18.98</v>
      </c>
      <c r="E11" s="51" t="s">
        <v>38</v>
      </c>
      <c r="F11" s="51" t="s">
        <v>12</v>
      </c>
      <c r="G11" s="49">
        <v>5</v>
      </c>
      <c r="H11" s="51" t="s">
        <v>19</v>
      </c>
      <c r="I11" s="51" t="str">
        <f>VLOOKUP(H11,'Base de Gerentes'!A:B,2,)</f>
        <v>Julia Ramos</v>
      </c>
      <c r="J11" s="51" t="s">
        <v>18</v>
      </c>
      <c r="K11" s="51" t="s">
        <v>100</v>
      </c>
      <c r="L11" s="52">
        <v>94.9</v>
      </c>
    </row>
    <row r="12" spans="1:12" x14ac:dyDescent="0.25">
      <c r="A12" s="49">
        <v>11</v>
      </c>
      <c r="B12" s="50">
        <v>43307</v>
      </c>
      <c r="C12" s="51" t="s">
        <v>39</v>
      </c>
      <c r="D12" s="52">
        <v>13.85</v>
      </c>
      <c r="E12" s="51" t="s">
        <v>40</v>
      </c>
      <c r="F12" s="51" t="s">
        <v>17</v>
      </c>
      <c r="G12" s="49">
        <v>14</v>
      </c>
      <c r="H12" s="51" t="s">
        <v>25</v>
      </c>
      <c r="I12" s="51" t="str">
        <f>VLOOKUP(H12,'Base de Gerentes'!A:B,2,)</f>
        <v>Roberto Lopes</v>
      </c>
      <c r="J12" s="51" t="s">
        <v>24</v>
      </c>
      <c r="K12" s="51" t="s">
        <v>100</v>
      </c>
      <c r="L12" s="52">
        <v>193.9</v>
      </c>
    </row>
    <row r="13" spans="1:12" x14ac:dyDescent="0.25">
      <c r="A13" s="49">
        <v>12</v>
      </c>
      <c r="B13" s="50">
        <v>43392</v>
      </c>
      <c r="C13" s="51" t="s">
        <v>41</v>
      </c>
      <c r="D13" s="52">
        <v>25.98</v>
      </c>
      <c r="E13" s="51" t="s">
        <v>42</v>
      </c>
      <c r="F13" s="51" t="s">
        <v>12</v>
      </c>
      <c r="G13" s="49">
        <v>11</v>
      </c>
      <c r="H13" s="51" t="s">
        <v>14</v>
      </c>
      <c r="I13" s="51" t="str">
        <f>VLOOKUP(H13,'Base de Gerentes'!A:B,2,)</f>
        <v>Carmem Silva</v>
      </c>
      <c r="J13" s="51" t="s">
        <v>13</v>
      </c>
      <c r="K13" s="51" t="s">
        <v>99</v>
      </c>
      <c r="L13" s="52">
        <v>285.78000000000003</v>
      </c>
    </row>
    <row r="14" spans="1:12" x14ac:dyDescent="0.25">
      <c r="A14" s="49">
        <v>13</v>
      </c>
      <c r="B14" s="50">
        <v>43686</v>
      </c>
      <c r="C14" s="51" t="s">
        <v>43</v>
      </c>
      <c r="D14" s="52">
        <v>18.98</v>
      </c>
      <c r="E14" s="51" t="s">
        <v>34</v>
      </c>
      <c r="F14" s="51" t="s">
        <v>12</v>
      </c>
      <c r="G14" s="49">
        <v>9</v>
      </c>
      <c r="H14" s="51" t="s">
        <v>28</v>
      </c>
      <c r="I14" s="51" t="str">
        <f>VLOOKUP(H14,'Base de Gerentes'!A:B,2,)</f>
        <v>Gabriel Gomes</v>
      </c>
      <c r="J14" s="51" t="s">
        <v>24</v>
      </c>
      <c r="K14" s="51" t="s">
        <v>100</v>
      </c>
      <c r="L14" s="52">
        <v>170.82</v>
      </c>
    </row>
    <row r="15" spans="1:12" x14ac:dyDescent="0.25">
      <c r="A15" s="49">
        <v>14</v>
      </c>
      <c r="B15" s="50">
        <v>43147</v>
      </c>
      <c r="C15" s="51" t="s">
        <v>44</v>
      </c>
      <c r="D15" s="52">
        <v>18.559999999999999</v>
      </c>
      <c r="E15" s="51" t="s">
        <v>45</v>
      </c>
      <c r="F15" s="51" t="s">
        <v>12</v>
      </c>
      <c r="G15" s="49">
        <v>15</v>
      </c>
      <c r="H15" s="51" t="s">
        <v>25</v>
      </c>
      <c r="I15" s="51" t="str">
        <f>VLOOKUP(H15,'Base de Gerentes'!A:B,2,)</f>
        <v>Roberto Lopes</v>
      </c>
      <c r="J15" s="51" t="s">
        <v>24</v>
      </c>
      <c r="K15" s="51" t="s">
        <v>100</v>
      </c>
      <c r="L15" s="52">
        <v>278.39999999999998</v>
      </c>
    </row>
    <row r="16" spans="1:12" x14ac:dyDescent="0.25">
      <c r="A16" s="49">
        <v>15</v>
      </c>
      <c r="B16" s="50">
        <v>44114</v>
      </c>
      <c r="C16" s="51" t="s">
        <v>46</v>
      </c>
      <c r="D16" s="52">
        <v>13.36</v>
      </c>
      <c r="E16" s="51" t="s">
        <v>47</v>
      </c>
      <c r="F16" s="51" t="s">
        <v>17</v>
      </c>
      <c r="G16" s="49">
        <v>5</v>
      </c>
      <c r="H16" s="51" t="s">
        <v>14</v>
      </c>
      <c r="I16" s="51" t="str">
        <f>VLOOKUP(H16,'Base de Gerentes'!A:B,2,)</f>
        <v>Carmem Silva</v>
      </c>
      <c r="J16" s="51" t="s">
        <v>13</v>
      </c>
      <c r="K16" s="51" t="s">
        <v>99</v>
      </c>
      <c r="L16" s="52">
        <v>66.8</v>
      </c>
    </row>
    <row r="17" spans="1:12" x14ac:dyDescent="0.25">
      <c r="A17" s="49">
        <v>16</v>
      </c>
      <c r="B17" s="50">
        <v>44104</v>
      </c>
      <c r="C17" s="51" t="s">
        <v>48</v>
      </c>
      <c r="D17" s="52">
        <v>29.98</v>
      </c>
      <c r="E17" s="51" t="s">
        <v>47</v>
      </c>
      <c r="F17" s="51" t="s">
        <v>17</v>
      </c>
      <c r="G17" s="49">
        <v>5</v>
      </c>
      <c r="H17" s="51" t="s">
        <v>14</v>
      </c>
      <c r="I17" s="51" t="str">
        <f>VLOOKUP(H17,'Base de Gerentes'!A:B,2,)</f>
        <v>Carmem Silva</v>
      </c>
      <c r="J17" s="51" t="s">
        <v>13</v>
      </c>
      <c r="K17" s="51" t="s">
        <v>99</v>
      </c>
      <c r="L17" s="52">
        <v>149.9</v>
      </c>
    </row>
    <row r="18" spans="1:12" x14ac:dyDescent="0.25">
      <c r="A18" s="49">
        <v>17</v>
      </c>
      <c r="B18" s="50">
        <v>42257</v>
      </c>
      <c r="C18" s="51" t="s">
        <v>29</v>
      </c>
      <c r="D18" s="52">
        <v>202.47</v>
      </c>
      <c r="E18" s="51" t="s">
        <v>49</v>
      </c>
      <c r="F18" s="51" t="s">
        <v>17</v>
      </c>
      <c r="G18" s="49">
        <v>11</v>
      </c>
      <c r="H18" s="51" t="s">
        <v>25</v>
      </c>
      <c r="I18" s="51" t="str">
        <f>VLOOKUP(H18,'Base de Gerentes'!A:B,2,)</f>
        <v>Roberto Lopes</v>
      </c>
      <c r="J18" s="51" t="s">
        <v>24</v>
      </c>
      <c r="K18" s="51" t="s">
        <v>100</v>
      </c>
      <c r="L18" s="52">
        <v>2227.17</v>
      </c>
    </row>
    <row r="19" spans="1:12" x14ac:dyDescent="0.25">
      <c r="A19" s="49">
        <v>18</v>
      </c>
      <c r="B19" s="50">
        <v>42427</v>
      </c>
      <c r="C19" s="51" t="s">
        <v>50</v>
      </c>
      <c r="D19" s="52">
        <v>35.619999999999997</v>
      </c>
      <c r="E19" s="51" t="s">
        <v>51</v>
      </c>
      <c r="F19" s="51" t="s">
        <v>17</v>
      </c>
      <c r="G19" s="49">
        <v>10</v>
      </c>
      <c r="H19" s="51" t="s">
        <v>28</v>
      </c>
      <c r="I19" s="51" t="str">
        <f>VLOOKUP(H19,'Base de Gerentes'!A:B,2,)</f>
        <v>Gabriel Gomes</v>
      </c>
      <c r="J19" s="51" t="s">
        <v>18</v>
      </c>
      <c r="K19" s="51" t="s">
        <v>100</v>
      </c>
      <c r="L19" s="52">
        <v>356.2</v>
      </c>
    </row>
    <row r="20" spans="1:12" x14ac:dyDescent="0.25">
      <c r="A20" s="49">
        <v>19</v>
      </c>
      <c r="B20" s="50">
        <v>42536</v>
      </c>
      <c r="C20" s="51" t="s">
        <v>52</v>
      </c>
      <c r="D20" s="52">
        <v>33.99</v>
      </c>
      <c r="E20" s="51" t="s">
        <v>53</v>
      </c>
      <c r="F20" s="51" t="s">
        <v>17</v>
      </c>
      <c r="G20" s="49">
        <v>9</v>
      </c>
      <c r="H20" s="51" t="s">
        <v>25</v>
      </c>
      <c r="I20" s="51" t="str">
        <f>VLOOKUP(H20,'Base de Gerentes'!A:B,2,)</f>
        <v>Roberto Lopes</v>
      </c>
      <c r="J20" s="51" t="s">
        <v>24</v>
      </c>
      <c r="K20" s="51" t="s">
        <v>100</v>
      </c>
      <c r="L20" s="52">
        <v>305.91000000000003</v>
      </c>
    </row>
    <row r="21" spans="1:12" x14ac:dyDescent="0.25">
      <c r="A21" s="49">
        <v>20</v>
      </c>
      <c r="B21" s="50">
        <v>42389</v>
      </c>
      <c r="C21" s="51" t="s">
        <v>54</v>
      </c>
      <c r="D21" s="52">
        <v>17.2</v>
      </c>
      <c r="E21" s="51" t="s">
        <v>55</v>
      </c>
      <c r="F21" s="51" t="s">
        <v>17</v>
      </c>
      <c r="G21" s="49">
        <v>15</v>
      </c>
      <c r="H21" s="51" t="s">
        <v>25</v>
      </c>
      <c r="I21" s="51" t="str">
        <f>VLOOKUP(H21,'Base de Gerentes'!A:B,2,)</f>
        <v>Roberto Lopes</v>
      </c>
      <c r="J21" s="51" t="s">
        <v>24</v>
      </c>
      <c r="K21" s="51" t="s">
        <v>100</v>
      </c>
      <c r="L21" s="52">
        <v>258</v>
      </c>
    </row>
    <row r="22" spans="1:12" x14ac:dyDescent="0.25">
      <c r="A22" s="49">
        <v>21</v>
      </c>
      <c r="B22" s="50">
        <v>43195</v>
      </c>
      <c r="C22" s="51" t="s">
        <v>56</v>
      </c>
      <c r="D22" s="52">
        <v>28.9</v>
      </c>
      <c r="E22" s="51" t="s">
        <v>57</v>
      </c>
      <c r="F22" s="51" t="s">
        <v>17</v>
      </c>
      <c r="G22" s="49">
        <v>14</v>
      </c>
      <c r="H22" s="51" t="s">
        <v>28</v>
      </c>
      <c r="I22" s="51" t="str">
        <f>VLOOKUP(H22,'Base de Gerentes'!A:B,2,)</f>
        <v>Gabriel Gomes</v>
      </c>
      <c r="J22" s="51" t="s">
        <v>24</v>
      </c>
      <c r="K22" s="51" t="s">
        <v>100</v>
      </c>
      <c r="L22" s="52">
        <v>404.59999999999997</v>
      </c>
    </row>
    <row r="23" spans="1:12" x14ac:dyDescent="0.25">
      <c r="A23" s="49">
        <v>22</v>
      </c>
      <c r="B23" s="50">
        <v>43174</v>
      </c>
      <c r="C23" s="51" t="s">
        <v>10</v>
      </c>
      <c r="D23" s="52">
        <v>43.36</v>
      </c>
      <c r="E23" s="51" t="s">
        <v>58</v>
      </c>
      <c r="F23" s="51" t="s">
        <v>17</v>
      </c>
      <c r="G23" s="49">
        <v>8</v>
      </c>
      <c r="H23" s="51" t="s">
        <v>25</v>
      </c>
      <c r="I23" s="51" t="str">
        <f>VLOOKUP(H23,'Base de Gerentes'!A:B,2,)</f>
        <v>Roberto Lopes</v>
      </c>
      <c r="J23" s="51" t="s">
        <v>24</v>
      </c>
      <c r="K23" s="51" t="s">
        <v>100</v>
      </c>
      <c r="L23" s="52">
        <v>346.88</v>
      </c>
    </row>
    <row r="24" spans="1:12" x14ac:dyDescent="0.25">
      <c r="A24" s="49">
        <v>23</v>
      </c>
      <c r="B24" s="50">
        <v>42189</v>
      </c>
      <c r="C24" s="51" t="s">
        <v>29</v>
      </c>
      <c r="D24" s="52">
        <v>202.47</v>
      </c>
      <c r="E24" s="51" t="s">
        <v>59</v>
      </c>
      <c r="F24" s="51" t="s">
        <v>17</v>
      </c>
      <c r="G24" s="49">
        <v>11</v>
      </c>
      <c r="H24" s="51" t="s">
        <v>19</v>
      </c>
      <c r="I24" s="51" t="str">
        <f>VLOOKUP(H24,'Base de Gerentes'!A:B,2,)</f>
        <v>Julia Ramos</v>
      </c>
      <c r="J24" s="51" t="s">
        <v>18</v>
      </c>
      <c r="K24" s="51" t="s">
        <v>100</v>
      </c>
      <c r="L24" s="52">
        <v>2227.17</v>
      </c>
    </row>
    <row r="25" spans="1:12" x14ac:dyDescent="0.25">
      <c r="A25" s="49">
        <v>24</v>
      </c>
      <c r="B25" s="50">
        <v>42491</v>
      </c>
      <c r="C25" s="51" t="s">
        <v>35</v>
      </c>
      <c r="D25" s="52">
        <v>17.98</v>
      </c>
      <c r="E25" s="51" t="s">
        <v>60</v>
      </c>
      <c r="F25" s="51" t="s">
        <v>17</v>
      </c>
      <c r="G25" s="49">
        <v>11</v>
      </c>
      <c r="H25" s="51" t="s">
        <v>14</v>
      </c>
      <c r="I25" s="51" t="str">
        <f>VLOOKUP(H25,'Base de Gerentes'!A:B,2,)</f>
        <v>Carmem Silva</v>
      </c>
      <c r="J25" s="51" t="s">
        <v>13</v>
      </c>
      <c r="K25" s="51" t="s">
        <v>99</v>
      </c>
      <c r="L25" s="52">
        <v>197.78</v>
      </c>
    </row>
    <row r="26" spans="1:12" x14ac:dyDescent="0.25">
      <c r="A26" s="49">
        <v>25</v>
      </c>
      <c r="B26" s="50">
        <v>42854</v>
      </c>
      <c r="C26" s="51" t="s">
        <v>61</v>
      </c>
      <c r="D26" s="52">
        <v>13.65</v>
      </c>
      <c r="E26" s="51" t="s">
        <v>62</v>
      </c>
      <c r="F26" s="51" t="s">
        <v>17</v>
      </c>
      <c r="G26" s="49">
        <v>11</v>
      </c>
      <c r="H26" s="51" t="s">
        <v>25</v>
      </c>
      <c r="I26" s="51" t="str">
        <f>VLOOKUP(H26,'Base de Gerentes'!A:B,2,)</f>
        <v>Roberto Lopes</v>
      </c>
      <c r="J26" s="51" t="s">
        <v>24</v>
      </c>
      <c r="K26" s="51" t="s">
        <v>100</v>
      </c>
      <c r="L26" s="52">
        <v>150.15</v>
      </c>
    </row>
    <row r="27" spans="1:12" x14ac:dyDescent="0.25">
      <c r="A27" s="49">
        <v>26</v>
      </c>
      <c r="B27" s="50">
        <v>43107</v>
      </c>
      <c r="C27" s="51" t="s">
        <v>63</v>
      </c>
      <c r="D27" s="52">
        <v>458.32</v>
      </c>
      <c r="E27" s="51" t="s">
        <v>64</v>
      </c>
      <c r="F27" s="51" t="s">
        <v>17</v>
      </c>
      <c r="G27" s="49">
        <v>13</v>
      </c>
      <c r="H27" s="51" t="s">
        <v>28</v>
      </c>
      <c r="I27" s="51" t="str">
        <f>VLOOKUP(H27,'Base de Gerentes'!A:B,2,)</f>
        <v>Gabriel Gomes</v>
      </c>
      <c r="J27" s="51" t="s">
        <v>13</v>
      </c>
      <c r="K27" s="51" t="s">
        <v>99</v>
      </c>
      <c r="L27" s="52">
        <v>5958.16</v>
      </c>
    </row>
    <row r="28" spans="1:12" x14ac:dyDescent="0.25">
      <c r="A28" s="49">
        <v>27</v>
      </c>
      <c r="B28" s="50">
        <v>42145</v>
      </c>
      <c r="C28" s="51" t="s">
        <v>29</v>
      </c>
      <c r="D28" s="52">
        <v>202.47</v>
      </c>
      <c r="E28" s="51" t="s">
        <v>65</v>
      </c>
      <c r="F28" s="51" t="s">
        <v>12</v>
      </c>
      <c r="G28" s="49">
        <v>11</v>
      </c>
      <c r="H28" s="51" t="s">
        <v>25</v>
      </c>
      <c r="I28" s="51" t="str">
        <f>VLOOKUP(H28,'Base de Gerentes'!A:B,2,)</f>
        <v>Roberto Lopes</v>
      </c>
      <c r="J28" s="51" t="s">
        <v>24</v>
      </c>
      <c r="K28" s="51" t="s">
        <v>100</v>
      </c>
      <c r="L28" s="52">
        <v>2227.17</v>
      </c>
    </row>
    <row r="29" spans="1:12" x14ac:dyDescent="0.25">
      <c r="A29" s="49">
        <v>28</v>
      </c>
      <c r="B29" s="50">
        <v>43907</v>
      </c>
      <c r="C29" s="51" t="s">
        <v>66</v>
      </c>
      <c r="D29" s="52">
        <v>13.89</v>
      </c>
      <c r="E29" s="51" t="s">
        <v>67</v>
      </c>
      <c r="F29" s="51" t="s">
        <v>17</v>
      </c>
      <c r="G29" s="49">
        <v>5</v>
      </c>
      <c r="H29" s="51" t="s">
        <v>25</v>
      </c>
      <c r="I29" s="51" t="str">
        <f>VLOOKUP(H29,'Base de Gerentes'!A:B,2,)</f>
        <v>Roberto Lopes</v>
      </c>
      <c r="J29" s="51" t="s">
        <v>24</v>
      </c>
      <c r="K29" s="51" t="s">
        <v>100</v>
      </c>
      <c r="L29" s="52">
        <v>69.45</v>
      </c>
    </row>
    <row r="30" spans="1:12" x14ac:dyDescent="0.25">
      <c r="A30" s="49">
        <v>29</v>
      </c>
      <c r="B30" s="50">
        <v>42246</v>
      </c>
      <c r="C30" s="51" t="s">
        <v>29</v>
      </c>
      <c r="D30" s="52">
        <v>202.47</v>
      </c>
      <c r="E30" s="51" t="s">
        <v>68</v>
      </c>
      <c r="F30" s="51" t="s">
        <v>17</v>
      </c>
      <c r="G30" s="49">
        <v>14</v>
      </c>
      <c r="H30" s="51" t="s">
        <v>28</v>
      </c>
      <c r="I30" s="51" t="str">
        <f>VLOOKUP(H30,'Base de Gerentes'!A:B,2,)</f>
        <v>Gabriel Gomes</v>
      </c>
      <c r="J30" s="51" t="s">
        <v>18</v>
      </c>
      <c r="K30" s="51" t="s">
        <v>100</v>
      </c>
      <c r="L30" s="52">
        <v>2834.58</v>
      </c>
    </row>
    <row r="31" spans="1:12" x14ac:dyDescent="0.25">
      <c r="A31" s="49">
        <v>30</v>
      </c>
      <c r="B31" s="50">
        <v>43608</v>
      </c>
      <c r="C31" s="51" t="s">
        <v>69</v>
      </c>
      <c r="D31" s="52">
        <v>30.98</v>
      </c>
      <c r="E31" s="51" t="s">
        <v>70</v>
      </c>
      <c r="F31" s="51" t="s">
        <v>12</v>
      </c>
      <c r="G31" s="49">
        <v>14</v>
      </c>
      <c r="H31" s="51" t="s">
        <v>28</v>
      </c>
      <c r="I31" s="51" t="str">
        <f>VLOOKUP(H31,'Base de Gerentes'!A:B,2,)</f>
        <v>Gabriel Gomes</v>
      </c>
      <c r="J31" s="51" t="s">
        <v>24</v>
      </c>
      <c r="K31" s="51" t="s">
        <v>100</v>
      </c>
      <c r="L31" s="52">
        <v>433.72</v>
      </c>
    </row>
    <row r="32" spans="1:12" x14ac:dyDescent="0.25">
      <c r="A32" s="49">
        <v>31</v>
      </c>
      <c r="B32" s="50">
        <v>43172</v>
      </c>
      <c r="C32" s="51" t="s">
        <v>71</v>
      </c>
      <c r="D32" s="52">
        <v>16.95</v>
      </c>
      <c r="E32" s="51" t="s">
        <v>72</v>
      </c>
      <c r="F32" s="51" t="s">
        <v>17</v>
      </c>
      <c r="G32" s="49">
        <v>11</v>
      </c>
      <c r="H32" s="51" t="s">
        <v>14</v>
      </c>
      <c r="I32" s="51" t="str">
        <f>VLOOKUP(H32,'Base de Gerentes'!A:B,2,)</f>
        <v>Carmem Silva</v>
      </c>
      <c r="J32" s="51" t="s">
        <v>13</v>
      </c>
      <c r="K32" s="51" t="s">
        <v>99</v>
      </c>
      <c r="L32" s="52">
        <v>186.45</v>
      </c>
    </row>
    <row r="33" spans="1:12" x14ac:dyDescent="0.25">
      <c r="A33" s="49">
        <v>32</v>
      </c>
      <c r="B33" s="50">
        <v>43649</v>
      </c>
      <c r="C33" s="51" t="s">
        <v>73</v>
      </c>
      <c r="D33" s="52">
        <v>26.85</v>
      </c>
      <c r="E33" s="51" t="s">
        <v>74</v>
      </c>
      <c r="F33" s="51" t="s">
        <v>17</v>
      </c>
      <c r="G33" s="49">
        <v>13</v>
      </c>
      <c r="H33" s="51" t="s">
        <v>19</v>
      </c>
      <c r="I33" s="51" t="str">
        <f>VLOOKUP(H33,'Base de Gerentes'!A:B,2,)</f>
        <v>Julia Ramos</v>
      </c>
      <c r="J33" s="51" t="s">
        <v>18</v>
      </c>
      <c r="K33" s="51" t="s">
        <v>100</v>
      </c>
      <c r="L33" s="52">
        <v>349.05</v>
      </c>
    </row>
    <row r="34" spans="1:12" x14ac:dyDescent="0.25">
      <c r="A34" s="49">
        <v>33</v>
      </c>
      <c r="B34" s="50">
        <v>42435</v>
      </c>
      <c r="C34" s="51" t="s">
        <v>71</v>
      </c>
      <c r="D34" s="52">
        <v>16.95</v>
      </c>
      <c r="E34" s="51" t="s">
        <v>75</v>
      </c>
      <c r="F34" s="51" t="s">
        <v>17</v>
      </c>
      <c r="G34" s="49">
        <v>9</v>
      </c>
      <c r="H34" s="51" t="s">
        <v>25</v>
      </c>
      <c r="I34" s="51" t="str">
        <f>VLOOKUP(H34,'Base de Gerentes'!A:B,2,)</f>
        <v>Roberto Lopes</v>
      </c>
      <c r="J34" s="51" t="s">
        <v>24</v>
      </c>
      <c r="K34" s="51" t="s">
        <v>100</v>
      </c>
      <c r="L34" s="52">
        <v>152.54999999999998</v>
      </c>
    </row>
    <row r="35" spans="1:12" x14ac:dyDescent="0.25">
      <c r="A35" s="49">
        <v>34</v>
      </c>
      <c r="B35" s="50">
        <v>43273</v>
      </c>
      <c r="C35" s="51" t="s">
        <v>76</v>
      </c>
      <c r="D35" s="52">
        <v>65</v>
      </c>
      <c r="E35" s="51" t="s">
        <v>77</v>
      </c>
      <c r="F35" s="51" t="s">
        <v>12</v>
      </c>
      <c r="G35" s="49">
        <v>15</v>
      </c>
      <c r="H35" s="51" t="s">
        <v>19</v>
      </c>
      <c r="I35" s="51" t="str">
        <f>VLOOKUP(H35,'Base de Gerentes'!A:B,2,)</f>
        <v>Julia Ramos</v>
      </c>
      <c r="J35" s="51" t="s">
        <v>18</v>
      </c>
      <c r="K35" s="51" t="s">
        <v>100</v>
      </c>
      <c r="L35" s="52">
        <v>975</v>
      </c>
    </row>
  </sheetData>
  <autoFilter ref="A1:L35" xr:uid="{CFF5F63A-A48A-466D-9D12-E052B07C29AE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95F4-D875-4C96-AD25-D1FBBF388157}">
  <dimension ref="A1:J33"/>
  <sheetViews>
    <sheetView showGridLines="0" workbookViewId="0"/>
  </sheetViews>
  <sheetFormatPr defaultRowHeight="15" x14ac:dyDescent="0.25"/>
  <cols>
    <col min="2" max="2" width="25.42578125" customWidth="1"/>
    <col min="3" max="3" width="12.140625" customWidth="1"/>
    <col min="4" max="4" width="4.28515625" customWidth="1"/>
    <col min="6" max="6" width="10.28515625" bestFit="1" customWidth="1"/>
    <col min="9" max="9" width="2.7109375" customWidth="1"/>
    <col min="10" max="10" width="12.7109375" bestFit="1" customWidth="1"/>
  </cols>
  <sheetData>
    <row r="1" spans="1:10" x14ac:dyDescent="0.25">
      <c r="A1" s="27" t="s">
        <v>105</v>
      </c>
      <c r="B1" s="27" t="s">
        <v>4</v>
      </c>
      <c r="C1" s="27" t="s">
        <v>5</v>
      </c>
      <c r="E1" s="26" t="s">
        <v>87</v>
      </c>
      <c r="F1" s="26" t="s">
        <v>86</v>
      </c>
      <c r="G1" s="26" t="s">
        <v>5</v>
      </c>
      <c r="H1" s="26" t="s">
        <v>85</v>
      </c>
      <c r="J1" s="25" t="s">
        <v>84</v>
      </c>
    </row>
    <row r="2" spans="1:10" x14ac:dyDescent="0.25">
      <c r="A2" s="24">
        <v>1</v>
      </c>
      <c r="B2" s="23" t="s">
        <v>11</v>
      </c>
      <c r="C2" s="23" t="s">
        <v>12</v>
      </c>
      <c r="D2" s="22"/>
      <c r="E2" s="23" t="str">
        <f t="shared" ref="E2:E33" si="0">UPPER(LEFT(B2,2))</f>
        <v>AN</v>
      </c>
      <c r="F2" s="23" t="str">
        <f t="shared" ref="F2:F33" si="1">UPPER(RIGHT(B2,2))</f>
        <v>DE</v>
      </c>
      <c r="G2" s="23" t="str">
        <f t="shared" ref="G2:G33" si="2">UPPER(LEFT(C2,2))</f>
        <v>FE</v>
      </c>
      <c r="H2" s="23" t="str">
        <f t="shared" ref="H2:H33" si="3">_xlfn.CONCAT("00",A2)</f>
        <v>001</v>
      </c>
      <c r="J2" s="23" t="str">
        <f t="shared" ref="J2:J33" si="4">_xlfn.CONCAT(E2:H2)</f>
        <v>ANDEFE001</v>
      </c>
    </row>
    <row r="3" spans="1:10" x14ac:dyDescent="0.25">
      <c r="A3" s="24">
        <v>2</v>
      </c>
      <c r="B3" s="23" t="s">
        <v>42</v>
      </c>
      <c r="C3" s="23" t="s">
        <v>12</v>
      </c>
      <c r="D3" s="22"/>
      <c r="E3" s="23" t="str">
        <f t="shared" si="0"/>
        <v>AN</v>
      </c>
      <c r="F3" s="23" t="str">
        <f t="shared" si="1"/>
        <v>HA</v>
      </c>
      <c r="G3" s="23" t="str">
        <f t="shared" si="2"/>
        <v>FE</v>
      </c>
      <c r="H3" s="23" t="str">
        <f t="shared" si="3"/>
        <v>002</v>
      </c>
      <c r="J3" s="23" t="str">
        <f t="shared" si="4"/>
        <v>ANHAFE002</v>
      </c>
    </row>
    <row r="4" spans="1:10" x14ac:dyDescent="0.25">
      <c r="A4" s="24">
        <v>3</v>
      </c>
      <c r="B4" s="23" t="s">
        <v>32</v>
      </c>
      <c r="C4" s="23" t="s">
        <v>17</v>
      </c>
      <c r="D4" s="22"/>
      <c r="E4" s="23" t="str">
        <f t="shared" si="0"/>
        <v>AN</v>
      </c>
      <c r="F4" s="23" t="str">
        <f t="shared" si="1"/>
        <v>ES</v>
      </c>
      <c r="G4" s="23" t="str">
        <f t="shared" si="2"/>
        <v>MA</v>
      </c>
      <c r="H4" s="23" t="str">
        <f t="shared" si="3"/>
        <v>003</v>
      </c>
      <c r="J4" s="23" t="str">
        <f t="shared" si="4"/>
        <v>ANESMA003</v>
      </c>
    </row>
    <row r="5" spans="1:10" x14ac:dyDescent="0.25">
      <c r="A5" s="24">
        <v>4</v>
      </c>
      <c r="B5" s="23" t="s">
        <v>60</v>
      </c>
      <c r="C5" s="23" t="s">
        <v>17</v>
      </c>
      <c r="D5" s="22"/>
      <c r="E5" s="23" t="str">
        <f t="shared" si="0"/>
        <v>AR</v>
      </c>
      <c r="F5" s="23" t="str">
        <f t="shared" si="1"/>
        <v>ES</v>
      </c>
      <c r="G5" s="23" t="str">
        <f t="shared" si="2"/>
        <v>MA</v>
      </c>
      <c r="H5" s="23" t="str">
        <f t="shared" si="3"/>
        <v>004</v>
      </c>
      <c r="J5" s="23" t="str">
        <f t="shared" si="4"/>
        <v>ARESMA004</v>
      </c>
    </row>
    <row r="6" spans="1:10" x14ac:dyDescent="0.25">
      <c r="A6" s="24">
        <v>5</v>
      </c>
      <c r="B6" s="23" t="s">
        <v>72</v>
      </c>
      <c r="C6" s="23" t="s">
        <v>17</v>
      </c>
      <c r="D6" s="22"/>
      <c r="E6" s="23" t="str">
        <f t="shared" si="0"/>
        <v>AR</v>
      </c>
      <c r="F6" s="23" t="str">
        <f t="shared" si="1"/>
        <v>OS</v>
      </c>
      <c r="G6" s="23" t="str">
        <f t="shared" si="2"/>
        <v>MA</v>
      </c>
      <c r="H6" s="23" t="str">
        <f t="shared" si="3"/>
        <v>005</v>
      </c>
      <c r="J6" s="23" t="str">
        <f t="shared" si="4"/>
        <v>AROSMA005</v>
      </c>
    </row>
    <row r="7" spans="1:10" x14ac:dyDescent="0.25">
      <c r="A7" s="24">
        <v>6</v>
      </c>
      <c r="B7" s="23" t="s">
        <v>75</v>
      </c>
      <c r="C7" s="23" t="s">
        <v>17</v>
      </c>
      <c r="D7" s="22"/>
      <c r="E7" s="23" t="str">
        <f t="shared" si="0"/>
        <v>AR</v>
      </c>
      <c r="F7" s="23" t="str">
        <f t="shared" si="1"/>
        <v>RA</v>
      </c>
      <c r="G7" s="23" t="str">
        <f t="shared" si="2"/>
        <v>MA</v>
      </c>
      <c r="H7" s="23" t="str">
        <f t="shared" si="3"/>
        <v>006</v>
      </c>
      <c r="J7" s="23" t="str">
        <f t="shared" si="4"/>
        <v>ARRAMA006</v>
      </c>
    </row>
    <row r="8" spans="1:10" x14ac:dyDescent="0.25">
      <c r="A8" s="24">
        <v>7</v>
      </c>
      <c r="B8" s="23" t="s">
        <v>59</v>
      </c>
      <c r="C8" s="23" t="s">
        <v>17</v>
      </c>
      <c r="D8" s="22"/>
      <c r="E8" s="23" t="str">
        <f t="shared" si="0"/>
        <v>CA</v>
      </c>
      <c r="F8" s="23" t="str">
        <f t="shared" si="1"/>
        <v>DO</v>
      </c>
      <c r="G8" s="23" t="str">
        <f t="shared" si="2"/>
        <v>MA</v>
      </c>
      <c r="H8" s="23" t="str">
        <f t="shared" si="3"/>
        <v>007</v>
      </c>
      <c r="J8" s="23" t="str">
        <f t="shared" si="4"/>
        <v>CADOMA007</v>
      </c>
    </row>
    <row r="9" spans="1:10" x14ac:dyDescent="0.25">
      <c r="A9" s="24">
        <v>8</v>
      </c>
      <c r="B9" s="23" t="s">
        <v>70</v>
      </c>
      <c r="C9" s="23" t="s">
        <v>12</v>
      </c>
      <c r="D9" s="22"/>
      <c r="E9" s="23" t="str">
        <f t="shared" si="0"/>
        <v>CA</v>
      </c>
      <c r="F9" s="23" t="str">
        <f t="shared" si="1"/>
        <v>DO</v>
      </c>
      <c r="G9" s="23" t="str">
        <f t="shared" si="2"/>
        <v>FE</v>
      </c>
      <c r="H9" s="23" t="str">
        <f t="shared" si="3"/>
        <v>008</v>
      </c>
      <c r="J9" s="23" t="str">
        <f t="shared" si="4"/>
        <v>CADOFE008</v>
      </c>
    </row>
    <row r="10" spans="1:10" x14ac:dyDescent="0.25">
      <c r="A10" s="24">
        <v>9</v>
      </c>
      <c r="B10" s="23" t="s">
        <v>21</v>
      </c>
      <c r="C10" s="23" t="s">
        <v>12</v>
      </c>
      <c r="D10" s="22"/>
      <c r="E10" s="23" t="str">
        <f t="shared" si="0"/>
        <v>CE</v>
      </c>
      <c r="F10" s="23" t="str">
        <f t="shared" si="1"/>
        <v>ES</v>
      </c>
      <c r="G10" s="23" t="str">
        <f t="shared" si="2"/>
        <v>FE</v>
      </c>
      <c r="H10" s="23" t="str">
        <f t="shared" si="3"/>
        <v>009</v>
      </c>
      <c r="J10" s="23" t="str">
        <f t="shared" si="4"/>
        <v>CEESFE009</v>
      </c>
    </row>
    <row r="11" spans="1:10" x14ac:dyDescent="0.25">
      <c r="A11" s="24">
        <v>10</v>
      </c>
      <c r="B11" s="23" t="s">
        <v>36</v>
      </c>
      <c r="C11" s="23" t="s">
        <v>17</v>
      </c>
      <c r="D11" s="22"/>
      <c r="E11" s="23" t="str">
        <f t="shared" si="0"/>
        <v>DA</v>
      </c>
      <c r="F11" s="23" t="str">
        <f t="shared" si="1"/>
        <v>TO</v>
      </c>
      <c r="G11" s="23" t="str">
        <f t="shared" si="2"/>
        <v>MA</v>
      </c>
      <c r="H11" s="23" t="str">
        <f t="shared" si="3"/>
        <v>0010</v>
      </c>
      <c r="J11" s="23" t="str">
        <f t="shared" si="4"/>
        <v>DATOMA0010</v>
      </c>
    </row>
    <row r="12" spans="1:10" x14ac:dyDescent="0.25">
      <c r="A12" s="24">
        <v>11</v>
      </c>
      <c r="B12" s="23" t="s">
        <v>51</v>
      </c>
      <c r="C12" s="23" t="s">
        <v>17</v>
      </c>
      <c r="D12" s="22"/>
      <c r="E12" s="23" t="str">
        <f t="shared" si="0"/>
        <v>DA</v>
      </c>
      <c r="F12" s="23" t="str">
        <f t="shared" si="1"/>
        <v>ES</v>
      </c>
      <c r="G12" s="23" t="str">
        <f t="shared" si="2"/>
        <v>MA</v>
      </c>
      <c r="H12" s="23" t="str">
        <f t="shared" si="3"/>
        <v>0011</v>
      </c>
      <c r="J12" s="23" t="str">
        <f t="shared" si="4"/>
        <v>DAESMA0011</v>
      </c>
    </row>
    <row r="13" spans="1:10" x14ac:dyDescent="0.25">
      <c r="A13" s="24">
        <v>12</v>
      </c>
      <c r="B13" s="23" t="s">
        <v>49</v>
      </c>
      <c r="C13" s="23" t="s">
        <v>17</v>
      </c>
      <c r="D13" s="22"/>
      <c r="E13" s="23" t="str">
        <f t="shared" si="0"/>
        <v>DA</v>
      </c>
      <c r="F13" s="23" t="str">
        <f t="shared" si="1"/>
        <v>OA</v>
      </c>
      <c r="G13" s="23" t="str">
        <f t="shared" si="2"/>
        <v>MA</v>
      </c>
      <c r="H13" s="23" t="str">
        <f t="shared" si="3"/>
        <v>0012</v>
      </c>
      <c r="J13" s="23" t="str">
        <f t="shared" si="4"/>
        <v>DAOAMA0012</v>
      </c>
    </row>
    <row r="14" spans="1:10" x14ac:dyDescent="0.25">
      <c r="A14" s="24">
        <v>13</v>
      </c>
      <c r="B14" s="23" t="s">
        <v>77</v>
      </c>
      <c r="C14" s="23" t="s">
        <v>12</v>
      </c>
      <c r="D14" s="22"/>
      <c r="E14" s="23" t="str">
        <f t="shared" si="0"/>
        <v>EM</v>
      </c>
      <c r="F14" s="23" t="str">
        <f t="shared" si="1"/>
        <v>TA</v>
      </c>
      <c r="G14" s="23" t="str">
        <f t="shared" si="2"/>
        <v>FE</v>
      </c>
      <c r="H14" s="23" t="str">
        <f t="shared" si="3"/>
        <v>0013</v>
      </c>
      <c r="J14" s="23" t="str">
        <f t="shared" si="4"/>
        <v>EMTAFE0013</v>
      </c>
    </row>
    <row r="15" spans="1:10" x14ac:dyDescent="0.25">
      <c r="A15" s="24">
        <v>14</v>
      </c>
      <c r="B15" s="23" t="s">
        <v>74</v>
      </c>
      <c r="C15" s="23" t="s">
        <v>17</v>
      </c>
      <c r="D15" s="22"/>
      <c r="E15" s="23" t="str">
        <f t="shared" si="0"/>
        <v>ER</v>
      </c>
      <c r="F15" s="23" t="str">
        <f t="shared" si="1"/>
        <v>TA</v>
      </c>
      <c r="G15" s="23" t="str">
        <f t="shared" si="2"/>
        <v>MA</v>
      </c>
      <c r="H15" s="23" t="str">
        <f t="shared" si="3"/>
        <v>0014</v>
      </c>
      <c r="J15" s="23" t="str">
        <f t="shared" si="4"/>
        <v>ERTAMA0014</v>
      </c>
    </row>
    <row r="16" spans="1:10" x14ac:dyDescent="0.25">
      <c r="A16" s="24">
        <v>15</v>
      </c>
      <c r="B16" s="23" t="s">
        <v>30</v>
      </c>
      <c r="C16" s="23" t="s">
        <v>12</v>
      </c>
      <c r="D16" s="22"/>
      <c r="E16" s="23" t="str">
        <f t="shared" si="0"/>
        <v>FE</v>
      </c>
      <c r="F16" s="23" t="str">
        <f t="shared" si="1"/>
        <v>ES</v>
      </c>
      <c r="G16" s="23" t="str">
        <f t="shared" si="2"/>
        <v>FE</v>
      </c>
      <c r="H16" s="23" t="str">
        <f t="shared" si="3"/>
        <v>0015</v>
      </c>
      <c r="J16" s="23" t="str">
        <f t="shared" si="4"/>
        <v>FEESFE0015</v>
      </c>
    </row>
    <row r="17" spans="1:10" x14ac:dyDescent="0.25">
      <c r="A17" s="24">
        <v>16</v>
      </c>
      <c r="B17" s="23" t="s">
        <v>58</v>
      </c>
      <c r="C17" s="23" t="s">
        <v>17</v>
      </c>
      <c r="D17" s="22"/>
      <c r="E17" s="23" t="str">
        <f t="shared" si="0"/>
        <v>GA</v>
      </c>
      <c r="F17" s="23" t="str">
        <f t="shared" si="1"/>
        <v>ER</v>
      </c>
      <c r="G17" s="23" t="str">
        <f t="shared" si="2"/>
        <v>MA</v>
      </c>
      <c r="H17" s="23" t="str">
        <f t="shared" si="3"/>
        <v>0016</v>
      </c>
      <c r="J17" s="23" t="str">
        <f t="shared" si="4"/>
        <v>GAERMA0016</v>
      </c>
    </row>
    <row r="18" spans="1:10" x14ac:dyDescent="0.25">
      <c r="A18" s="24">
        <v>17</v>
      </c>
      <c r="B18" s="23" t="s">
        <v>64</v>
      </c>
      <c r="C18" s="23" t="s">
        <v>17</v>
      </c>
      <c r="D18" s="22"/>
      <c r="E18" s="23" t="str">
        <f t="shared" si="0"/>
        <v>GU</v>
      </c>
      <c r="F18" s="23" t="str">
        <f t="shared" si="1"/>
        <v>ÇA</v>
      </c>
      <c r="G18" s="23" t="str">
        <f t="shared" si="2"/>
        <v>MA</v>
      </c>
      <c r="H18" s="23" t="str">
        <f t="shared" si="3"/>
        <v>0017</v>
      </c>
      <c r="J18" s="23" t="str">
        <f t="shared" si="4"/>
        <v>GUÇAMA0017</v>
      </c>
    </row>
    <row r="19" spans="1:10" x14ac:dyDescent="0.25">
      <c r="A19" s="24">
        <v>18</v>
      </c>
      <c r="B19" s="23" t="s">
        <v>16</v>
      </c>
      <c r="C19" s="23" t="s">
        <v>17</v>
      </c>
      <c r="D19" s="22"/>
      <c r="E19" s="23" t="str">
        <f t="shared" si="0"/>
        <v>IS</v>
      </c>
      <c r="F19" s="23" t="str">
        <f t="shared" si="1"/>
        <v>ER</v>
      </c>
      <c r="G19" s="23" t="str">
        <f t="shared" si="2"/>
        <v>MA</v>
      </c>
      <c r="H19" s="23" t="str">
        <f t="shared" si="3"/>
        <v>0018</v>
      </c>
      <c r="J19" s="23" t="str">
        <f t="shared" si="4"/>
        <v>ISERMA0018</v>
      </c>
    </row>
    <row r="20" spans="1:10" x14ac:dyDescent="0.25">
      <c r="A20" s="24">
        <v>19</v>
      </c>
      <c r="B20" s="23" t="s">
        <v>65</v>
      </c>
      <c r="C20" s="23" t="s">
        <v>12</v>
      </c>
      <c r="D20" s="22"/>
      <c r="E20" s="23" t="str">
        <f t="shared" si="0"/>
        <v>LE</v>
      </c>
      <c r="F20" s="23" t="str">
        <f t="shared" si="1"/>
        <v>HA</v>
      </c>
      <c r="G20" s="23" t="str">
        <f t="shared" si="2"/>
        <v>FE</v>
      </c>
      <c r="H20" s="23" t="str">
        <f t="shared" si="3"/>
        <v>0019</v>
      </c>
      <c r="J20" s="23" t="str">
        <f t="shared" si="4"/>
        <v>LEHAFE0019</v>
      </c>
    </row>
    <row r="21" spans="1:10" x14ac:dyDescent="0.25">
      <c r="A21" s="24">
        <v>20</v>
      </c>
      <c r="B21" s="23" t="s">
        <v>62</v>
      </c>
      <c r="C21" s="23" t="s">
        <v>17</v>
      </c>
      <c r="D21" s="22"/>
      <c r="E21" s="23" t="str">
        <f t="shared" si="0"/>
        <v>LO</v>
      </c>
      <c r="F21" s="23" t="str">
        <f t="shared" si="1"/>
        <v>EL</v>
      </c>
      <c r="G21" s="23" t="str">
        <f t="shared" si="2"/>
        <v>MA</v>
      </c>
      <c r="H21" s="23" t="str">
        <f t="shared" si="3"/>
        <v>0020</v>
      </c>
      <c r="J21" s="23" t="str">
        <f t="shared" si="4"/>
        <v>LOELMA0020</v>
      </c>
    </row>
    <row r="22" spans="1:10" x14ac:dyDescent="0.25">
      <c r="A22" s="24">
        <v>21</v>
      </c>
      <c r="B22" s="23" t="s">
        <v>68</v>
      </c>
      <c r="C22" s="23" t="s">
        <v>17</v>
      </c>
      <c r="D22" s="22"/>
      <c r="E22" s="23" t="str">
        <f t="shared" si="0"/>
        <v>LU</v>
      </c>
      <c r="F22" s="23" t="str">
        <f t="shared" si="1"/>
        <v>OS</v>
      </c>
      <c r="G22" s="23" t="str">
        <f t="shared" si="2"/>
        <v>MA</v>
      </c>
      <c r="H22" s="23" t="str">
        <f t="shared" si="3"/>
        <v>0021</v>
      </c>
      <c r="J22" s="23" t="str">
        <f t="shared" si="4"/>
        <v>LUOSMA0021</v>
      </c>
    </row>
    <row r="23" spans="1:10" x14ac:dyDescent="0.25">
      <c r="A23" s="24">
        <v>22</v>
      </c>
      <c r="B23" s="23" t="s">
        <v>45</v>
      </c>
      <c r="C23" s="23" t="s">
        <v>12</v>
      </c>
      <c r="D23" s="22"/>
      <c r="E23" s="23" t="str">
        <f t="shared" si="0"/>
        <v>LU</v>
      </c>
      <c r="F23" s="23" t="str">
        <f t="shared" si="1"/>
        <v>IO</v>
      </c>
      <c r="G23" s="23" t="str">
        <f t="shared" si="2"/>
        <v>FE</v>
      </c>
      <c r="H23" s="23" t="str">
        <f t="shared" si="3"/>
        <v>0022</v>
      </c>
      <c r="J23" s="23" t="str">
        <f t="shared" si="4"/>
        <v>LUIOFE0022</v>
      </c>
    </row>
    <row r="24" spans="1:10" x14ac:dyDescent="0.25">
      <c r="A24" s="24">
        <v>23</v>
      </c>
      <c r="B24" s="23" t="s">
        <v>38</v>
      </c>
      <c r="C24" s="23" t="s">
        <v>12</v>
      </c>
      <c r="D24" s="22"/>
      <c r="E24" s="23" t="str">
        <f t="shared" si="0"/>
        <v>MA</v>
      </c>
      <c r="F24" s="23" t="str">
        <f t="shared" si="1"/>
        <v>HO</v>
      </c>
      <c r="G24" s="23" t="str">
        <f t="shared" si="2"/>
        <v>FE</v>
      </c>
      <c r="H24" s="23" t="str">
        <f t="shared" si="3"/>
        <v>0023</v>
      </c>
      <c r="J24" s="23" t="str">
        <f t="shared" si="4"/>
        <v>MAHOFE0023</v>
      </c>
    </row>
    <row r="25" spans="1:10" x14ac:dyDescent="0.25">
      <c r="A25" s="24">
        <v>24</v>
      </c>
      <c r="B25" s="23" t="s">
        <v>55</v>
      </c>
      <c r="C25" s="23" t="s">
        <v>17</v>
      </c>
      <c r="D25" s="22"/>
      <c r="E25" s="23" t="str">
        <f t="shared" si="0"/>
        <v>MA</v>
      </c>
      <c r="F25" s="23" t="str">
        <f t="shared" si="1"/>
        <v>DE</v>
      </c>
      <c r="G25" s="23" t="str">
        <f t="shared" si="2"/>
        <v>MA</v>
      </c>
      <c r="H25" s="23" t="str">
        <f t="shared" si="3"/>
        <v>0024</v>
      </c>
      <c r="J25" s="23" t="str">
        <f t="shared" si="4"/>
        <v>MADEMA0024</v>
      </c>
    </row>
    <row r="26" spans="1:10" x14ac:dyDescent="0.25">
      <c r="A26" s="24">
        <v>25</v>
      </c>
      <c r="B26" s="23" t="s">
        <v>47</v>
      </c>
      <c r="C26" s="23" t="s">
        <v>17</v>
      </c>
      <c r="D26" s="22"/>
      <c r="E26" s="23" t="str">
        <f t="shared" si="0"/>
        <v>PE</v>
      </c>
      <c r="F26" s="23" t="str">
        <f t="shared" si="1"/>
        <v>TA</v>
      </c>
      <c r="G26" s="23" t="str">
        <f t="shared" si="2"/>
        <v>MA</v>
      </c>
      <c r="H26" s="23" t="str">
        <f t="shared" si="3"/>
        <v>0025</v>
      </c>
      <c r="J26" s="23" t="str">
        <f t="shared" si="4"/>
        <v>PETAMA0025</v>
      </c>
    </row>
    <row r="27" spans="1:10" x14ac:dyDescent="0.25">
      <c r="A27" s="24">
        <v>26</v>
      </c>
      <c r="B27" s="23" t="s">
        <v>27</v>
      </c>
      <c r="C27" s="23" t="s">
        <v>12</v>
      </c>
      <c r="D27" s="22"/>
      <c r="E27" s="23" t="str">
        <f t="shared" si="0"/>
        <v>PI</v>
      </c>
      <c r="F27" s="23" t="str">
        <f t="shared" si="1"/>
        <v>ES</v>
      </c>
      <c r="G27" s="23" t="str">
        <f t="shared" si="2"/>
        <v>FE</v>
      </c>
      <c r="H27" s="23" t="str">
        <f t="shared" si="3"/>
        <v>0026</v>
      </c>
      <c r="J27" s="23" t="str">
        <f t="shared" si="4"/>
        <v>PIESFE0026</v>
      </c>
    </row>
    <row r="28" spans="1:10" x14ac:dyDescent="0.25">
      <c r="A28" s="24">
        <v>27</v>
      </c>
      <c r="B28" s="23" t="s">
        <v>67</v>
      </c>
      <c r="C28" s="23" t="s">
        <v>17</v>
      </c>
      <c r="D28" s="22"/>
      <c r="E28" s="23" t="str">
        <f t="shared" si="0"/>
        <v>PI</v>
      </c>
      <c r="F28" s="23" t="str">
        <f t="shared" si="1"/>
        <v>ES</v>
      </c>
      <c r="G28" s="23" t="str">
        <f t="shared" si="2"/>
        <v>MA</v>
      </c>
      <c r="H28" s="23" t="str">
        <f t="shared" si="3"/>
        <v>0027</v>
      </c>
      <c r="J28" s="23" t="str">
        <f t="shared" si="4"/>
        <v>PIESMA0027</v>
      </c>
    </row>
    <row r="29" spans="1:10" x14ac:dyDescent="0.25">
      <c r="A29" s="24">
        <v>28</v>
      </c>
      <c r="B29" s="23" t="s">
        <v>40</v>
      </c>
      <c r="C29" s="23" t="s">
        <v>17</v>
      </c>
      <c r="D29" s="22"/>
      <c r="E29" s="23" t="str">
        <f t="shared" si="0"/>
        <v>PI</v>
      </c>
      <c r="F29" s="23" t="str">
        <f t="shared" si="1"/>
        <v>TO</v>
      </c>
      <c r="G29" s="23" t="str">
        <f t="shared" si="2"/>
        <v>MA</v>
      </c>
      <c r="H29" s="23" t="str">
        <f t="shared" si="3"/>
        <v>0028</v>
      </c>
      <c r="J29" s="23" t="str">
        <f t="shared" si="4"/>
        <v>PITOMA0028</v>
      </c>
    </row>
    <row r="30" spans="1:10" x14ac:dyDescent="0.25">
      <c r="A30" s="24">
        <v>29</v>
      </c>
      <c r="B30" s="23" t="s">
        <v>53</v>
      </c>
      <c r="C30" s="23" t="s">
        <v>17</v>
      </c>
      <c r="D30" s="22"/>
      <c r="E30" s="23" t="str">
        <f t="shared" si="0"/>
        <v>TH</v>
      </c>
      <c r="F30" s="23" t="str">
        <f t="shared" si="1"/>
        <v>RA</v>
      </c>
      <c r="G30" s="23" t="str">
        <f t="shared" si="2"/>
        <v>MA</v>
      </c>
      <c r="H30" s="23" t="str">
        <f t="shared" si="3"/>
        <v>0029</v>
      </c>
      <c r="J30" s="23" t="str">
        <f t="shared" si="4"/>
        <v>THRAMA0029</v>
      </c>
    </row>
    <row r="31" spans="1:10" x14ac:dyDescent="0.25">
      <c r="A31" s="24">
        <v>30</v>
      </c>
      <c r="B31" s="23" t="s">
        <v>34</v>
      </c>
      <c r="C31" s="23" t="s">
        <v>12</v>
      </c>
      <c r="D31" s="22"/>
      <c r="E31" s="23" t="str">
        <f t="shared" si="0"/>
        <v>VI</v>
      </c>
      <c r="F31" s="23" t="str">
        <f t="shared" si="1"/>
        <v>RA</v>
      </c>
      <c r="G31" s="23" t="str">
        <f t="shared" si="2"/>
        <v>FE</v>
      </c>
      <c r="H31" s="23" t="str">
        <f t="shared" si="3"/>
        <v>0030</v>
      </c>
      <c r="J31" s="23" t="str">
        <f t="shared" si="4"/>
        <v>VIRAFE0030</v>
      </c>
    </row>
    <row r="32" spans="1:10" x14ac:dyDescent="0.25">
      <c r="A32" s="24">
        <v>31</v>
      </c>
      <c r="B32" s="23" t="s">
        <v>57</v>
      </c>
      <c r="C32" s="23" t="s">
        <v>17</v>
      </c>
      <c r="D32" s="22"/>
      <c r="E32" s="23" t="str">
        <f t="shared" si="0"/>
        <v>YA</v>
      </c>
      <c r="F32" s="23" t="str">
        <f t="shared" si="1"/>
        <v>TA</v>
      </c>
      <c r="G32" s="23" t="str">
        <f t="shared" si="2"/>
        <v>MA</v>
      </c>
      <c r="H32" s="23" t="str">
        <f t="shared" si="3"/>
        <v>0031</v>
      </c>
      <c r="J32" s="23" t="str">
        <f t="shared" si="4"/>
        <v>YATAMA0031</v>
      </c>
    </row>
    <row r="33" spans="1:10" x14ac:dyDescent="0.25">
      <c r="A33" s="24">
        <v>32</v>
      </c>
      <c r="B33" s="23" t="s">
        <v>23</v>
      </c>
      <c r="C33" s="23" t="s">
        <v>17</v>
      </c>
      <c r="D33" s="22"/>
      <c r="E33" s="23" t="str">
        <f t="shared" si="0"/>
        <v>YU</v>
      </c>
      <c r="F33" s="23" t="str">
        <f t="shared" si="1"/>
        <v>ER</v>
      </c>
      <c r="G33" s="23" t="str">
        <f t="shared" si="2"/>
        <v>MA</v>
      </c>
      <c r="H33" s="23" t="str">
        <f t="shared" si="3"/>
        <v>0032</v>
      </c>
      <c r="J33" s="23" t="str">
        <f t="shared" si="4"/>
        <v>YUERMA0032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SE </vt:lpstr>
      <vt:lpstr>CONT.SE e CONT.SES</vt:lpstr>
      <vt:lpstr>SOMASE e SOMASES</vt:lpstr>
      <vt:lpstr>PROCV</vt:lpstr>
      <vt:lpstr>PROCH</vt:lpstr>
      <vt:lpstr>Base de Gerentes</vt:lpstr>
      <vt:lpstr>PROCX</vt:lpstr>
      <vt:lpstr>Base de 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Santos da Silva</dc:creator>
  <cp:lastModifiedBy>VICTOR AMATO DOS SANTOS FILHO</cp:lastModifiedBy>
  <dcterms:created xsi:type="dcterms:W3CDTF">2023-10-20T15:51:08Z</dcterms:created>
  <dcterms:modified xsi:type="dcterms:W3CDTF">2025-11-19T12:37:14Z</dcterms:modified>
</cp:coreProperties>
</file>