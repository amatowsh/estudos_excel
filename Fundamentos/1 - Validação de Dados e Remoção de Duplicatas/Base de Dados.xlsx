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am\Desktop\Analista de Dados\Excel\estudos_excel\Fórmulas e Funções Avançadas\1 - Validação de Dados e Remoção de Duplicatas\"/>
    </mc:Choice>
  </mc:AlternateContent>
  <xr:revisionPtr revIDLastSave="0" documentId="13_ncr:1_{72CD3B82-B55E-4ACB-A75A-39C0130F7160}" xr6:coauthVersionLast="47" xr6:coauthVersionMax="47" xr10:uidLastSave="{00000000-0000-0000-0000-000000000000}"/>
  <bookViews>
    <workbookView xWindow="-120" yWindow="-120" windowWidth="29040" windowHeight="15720" xr2:uid="{1E8CAFAB-C6CE-4E40-90F1-1F95FAD07FF8}"/>
  </bookViews>
  <sheets>
    <sheet name="Base de Dados" sheetId="33" r:id="rId1"/>
    <sheet name="Formatação" sheetId="55" state="hidden" r:id="rId2"/>
    <sheet name="Controle de Estoque" sheetId="51" state="hidden" r:id="rId3"/>
    <sheet name="Controle de EstoqueDELET" sheetId="49" state="hidden" r:id="rId4"/>
    <sheet name="Base de Dados2" sheetId="47" state="hidden" r:id="rId5"/>
    <sheet name="Gerentes" sheetId="48" state="hidden" r:id="rId6"/>
    <sheet name="." sheetId="44" state="hidden" r:id="rId7"/>
  </sheets>
  <definedNames>
    <definedName name="_xlnm._FilterDatabase" localSheetId="4" hidden="1">'Base de Dados2'!$A$1:$I$35</definedName>
    <definedName name="_xlnm._FilterDatabase" localSheetId="2" hidden="1">'Controle de Estoque'!$E$1:$F$28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55" l="1"/>
  <c r="J34" i="55"/>
  <c r="J33" i="55"/>
  <c r="J32" i="55"/>
  <c r="J31" i="55"/>
  <c r="J30" i="55"/>
  <c r="J29" i="55"/>
  <c r="J28" i="55"/>
  <c r="J27" i="55"/>
  <c r="J26" i="55"/>
  <c r="J25" i="55"/>
  <c r="J24" i="55"/>
  <c r="J23" i="55"/>
  <c r="J22" i="55"/>
  <c r="J21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J6" i="55"/>
  <c r="J5" i="55"/>
  <c r="J4" i="55"/>
  <c r="J3" i="55"/>
  <c r="J2" i="55"/>
  <c r="I10" i="51"/>
  <c r="I9" i="51"/>
  <c r="F2" i="51"/>
  <c r="F3" i="51"/>
  <c r="F4" i="51"/>
  <c r="F5" i="51"/>
  <c r="F6" i="51"/>
  <c r="F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26" i="51"/>
  <c r="F27" i="51"/>
  <c r="F28" i="51"/>
  <c r="E2" i="51"/>
  <c r="E3" i="51"/>
  <c r="E4" i="51"/>
  <c r="E5" i="51"/>
  <c r="E6" i="51"/>
  <c r="E7" i="5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I8" i="51"/>
  <c r="I7" i="51"/>
</calcChain>
</file>

<file path=xl/sharedStrings.xml><?xml version="1.0" encoding="utf-8"?>
<sst xmlns="http://schemas.openxmlformats.org/spreadsheetml/2006/main" count="642" uniqueCount="104">
  <si>
    <t>Carlos Eduardo</t>
  </si>
  <si>
    <t>Gerente</t>
  </si>
  <si>
    <t>Caneta Azul P10</t>
  </si>
  <si>
    <t>Giz de cera Pequeno 12 Cores</t>
  </si>
  <si>
    <t>Giz de cera Grande 24 Cores</t>
  </si>
  <si>
    <t>Caneta 4 Cores P5</t>
  </si>
  <si>
    <t>Avental</t>
  </si>
  <si>
    <t>Fichário</t>
  </si>
  <si>
    <t>Pistola de cola quente</t>
  </si>
  <si>
    <t>Estojo Modelo Pano</t>
  </si>
  <si>
    <t>Tinta Aquarela Azul</t>
  </si>
  <si>
    <t>Camisa Branca P</t>
  </si>
  <si>
    <t>Camisa Branca M</t>
  </si>
  <si>
    <t>Short Preto G</t>
  </si>
  <si>
    <t>Esquadro Transparente</t>
  </si>
  <si>
    <t>Esquadro Color</t>
  </si>
  <si>
    <t>Cola Bastão</t>
  </si>
  <si>
    <t>Cola 500 ml</t>
  </si>
  <si>
    <t>Lancheira Básica</t>
  </si>
  <si>
    <t>Resma Papel A4</t>
  </si>
  <si>
    <t>Projetor 720</t>
  </si>
  <si>
    <t>Quantidade</t>
  </si>
  <si>
    <t>Rio de Janeiro</t>
  </si>
  <si>
    <t>Santa Catarina</t>
  </si>
  <si>
    <t>São Paulo</t>
  </si>
  <si>
    <t>Borracha Branca Protector P20</t>
  </si>
  <si>
    <t>Boleto</t>
  </si>
  <si>
    <t>Cartão de Crédito</t>
  </si>
  <si>
    <t>Transferência Bancária</t>
  </si>
  <si>
    <t>Cecília Tavares</t>
  </si>
  <si>
    <t>Arthur Pereira</t>
  </si>
  <si>
    <t>Lucas Barros</t>
  </si>
  <si>
    <t>Pedro Lucas Frota</t>
  </si>
  <si>
    <t>Erick Frota</t>
  </si>
  <si>
    <t>Yago Frota</t>
  </si>
  <si>
    <t>Thomas Junqueira</t>
  </si>
  <si>
    <t>André Lopes</t>
  </si>
  <si>
    <t>Pietro Lopes</t>
  </si>
  <si>
    <t>Pietra Lopes</t>
  </si>
  <si>
    <t>Fernanda Neves</t>
  </si>
  <si>
    <t>Ana Laura Noronha</t>
  </si>
  <si>
    <t>Pietro Nascimento</t>
  </si>
  <si>
    <t>Daniel Nascimento</t>
  </si>
  <si>
    <t>Letícia Peçanha</t>
  </si>
  <si>
    <t>Emilly Pimenta</t>
  </si>
  <si>
    <t>Lorenzo Rangel</t>
  </si>
  <si>
    <t>Luna Nascimento Sampaio</t>
  </si>
  <si>
    <t>Vitória Siqueira</t>
  </si>
  <si>
    <t>Maria Isis Trindade</t>
  </si>
  <si>
    <t>Yuri Xavier</t>
  </si>
  <si>
    <t>Gael Xavier</t>
  </si>
  <si>
    <t>Guilherme Valença</t>
  </si>
  <si>
    <t>Davi Uchoa</t>
  </si>
  <si>
    <t>Ana Beatriz Trindade</t>
  </si>
  <si>
    <t>Arthur Miguel dos Santos</t>
  </si>
  <si>
    <t>Arthur Henrique Pires</t>
  </si>
  <si>
    <t>Catarina Penteado</t>
  </si>
  <si>
    <t>Davi Miguel Neves</t>
  </si>
  <si>
    <t>Maria Fernanda Carvalho</t>
  </si>
  <si>
    <t>Vendedor</t>
  </si>
  <si>
    <t>Caderno Pautado 300 Fl</t>
  </si>
  <si>
    <t>Caderno Pautado 150 Fl Pq</t>
  </si>
  <si>
    <t>PenDrive 128 Gb</t>
  </si>
  <si>
    <t>Mouse Básico</t>
  </si>
  <si>
    <t>Teclado Wireless</t>
  </si>
  <si>
    <t>Produto</t>
  </si>
  <si>
    <t>Forma de Pagamento</t>
  </si>
  <si>
    <t>Julia</t>
  </si>
  <si>
    <t>Carmem</t>
  </si>
  <si>
    <t>Roberto</t>
  </si>
  <si>
    <t>Tesoura Premium</t>
  </si>
  <si>
    <t>Lancheira Premium Completa</t>
  </si>
  <si>
    <t>Preço</t>
  </si>
  <si>
    <t>Loja</t>
  </si>
  <si>
    <t>ID</t>
  </si>
  <si>
    <t>Minas Gerias</t>
  </si>
  <si>
    <t>Paulo</t>
  </si>
  <si>
    <t>Rio Grande do Sul</t>
  </si>
  <si>
    <t>Gabriel</t>
  </si>
  <si>
    <t>Sexo</t>
  </si>
  <si>
    <t>Feminino</t>
  </si>
  <si>
    <t>Israel Becker</t>
  </si>
  <si>
    <t>Masculino</t>
  </si>
  <si>
    <t>Data da Compra</t>
  </si>
  <si>
    <t>SOMA</t>
  </si>
  <si>
    <t>SUBSTRAÇÃO</t>
  </si>
  <si>
    <t>MULT</t>
  </si>
  <si>
    <t>DIVISÃO</t>
  </si>
  <si>
    <t xml:space="preserve">Loja </t>
  </si>
  <si>
    <t>Carmem Luiza</t>
  </si>
  <si>
    <t>Julia Paula</t>
  </si>
  <si>
    <t>Roberto Oliveira</t>
  </si>
  <si>
    <t>Paulo Fernandes</t>
  </si>
  <si>
    <t>Gabriel Santos</t>
  </si>
  <si>
    <t>Data da Venda</t>
  </si>
  <si>
    <t>Entradas</t>
  </si>
  <si>
    <t>Saídas</t>
  </si>
  <si>
    <t>Estoque final</t>
  </si>
  <si>
    <t>SUBTRAÇÃO</t>
  </si>
  <si>
    <t>Faturamento total</t>
  </si>
  <si>
    <t>Faturamento Total</t>
  </si>
  <si>
    <t>Acima R$ 500,00</t>
  </si>
  <si>
    <t>Inferior a R$ 100,00</t>
  </si>
  <si>
    <t>Entre R$ 100,00 a R$ 500,00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</si>
</sst>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164" fontId="0" fillId="0" borderId="0" xfId="1" applyNumberFormat="1" applyFont="1" applyBorder="1"/>
    <xf numFmtId="0" fontId="4" fillId="2" borderId="1" xfId="0" applyFont="1" applyFill="1" applyBorder="1"/>
    <xf numFmtId="0" fontId="0" fillId="0" borderId="1" xfId="0" applyBorder="1"/>
    <xf numFmtId="0" fontId="0" fillId="0" borderId="3" xfId="0" applyBorder="1"/>
    <xf numFmtId="164" fontId="0" fillId="0" borderId="0" xfId="0" applyNumberFormat="1"/>
    <xf numFmtId="164" fontId="0" fillId="0" borderId="5" xfId="0" applyNumberFormat="1" applyBorder="1"/>
    <xf numFmtId="0" fontId="0" fillId="3" borderId="0" xfId="0" applyFill="1"/>
    <xf numFmtId="0" fontId="0" fillId="0" borderId="0" xfId="0" applyAlignment="1">
      <alignment horizontal="left"/>
    </xf>
    <xf numFmtId="164" fontId="0" fillId="0" borderId="0" xfId="1" applyNumberFormat="1" applyFont="1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2" xfId="0" applyFont="1" applyFill="1" applyBorder="1" applyAlignment="1">
      <alignment horizontal="left"/>
    </xf>
    <xf numFmtId="164" fontId="4" fillId="2" borderId="2" xfId="1" applyNumberFormat="1" applyFont="1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2" xfId="1" applyNumberFormat="1" applyFon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4" xfId="1" applyNumberFormat="1" applyFont="1" applyBorder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164" fontId="0" fillId="3" borderId="0" xfId="0" applyNumberFormat="1" applyFill="1"/>
    <xf numFmtId="164" fontId="0" fillId="0" borderId="0" xfId="0" applyNumberFormat="1" applyAlignment="1">
      <alignment horizontal="left"/>
    </xf>
    <xf numFmtId="0" fontId="0" fillId="0" borderId="5" xfId="0" applyBorder="1"/>
    <xf numFmtId="0" fontId="0" fillId="0" borderId="5" xfId="1" applyNumberFormat="1" applyFont="1" applyBorder="1" applyAlignment="1">
      <alignment horizontal="left"/>
    </xf>
    <xf numFmtId="14" fontId="0" fillId="0" borderId="0" xfId="0" applyNumberFormat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5" xfId="0" applyNumberFormat="1" applyBorder="1"/>
    <xf numFmtId="0" fontId="0" fillId="0" borderId="10" xfId="0" applyBorder="1"/>
    <xf numFmtId="0" fontId="0" fillId="0" borderId="11" xfId="0" applyBorder="1"/>
    <xf numFmtId="14" fontId="0" fillId="0" borderId="12" xfId="0" applyNumberFormat="1" applyBorder="1"/>
    <xf numFmtId="0" fontId="0" fillId="0" borderId="12" xfId="0" applyBorder="1"/>
    <xf numFmtId="0" fontId="0" fillId="0" borderId="13" xfId="0" applyBorder="1"/>
    <xf numFmtId="164" fontId="0" fillId="0" borderId="7" xfId="0" applyNumberFormat="1" applyBorder="1"/>
    <xf numFmtId="164" fontId="0" fillId="0" borderId="12" xfId="0" applyNumberFormat="1" applyBorder="1"/>
    <xf numFmtId="0" fontId="5" fillId="5" borderId="14" xfId="0" applyFont="1" applyFill="1" applyBorder="1" applyAlignment="1">
      <alignment horizontal="center"/>
    </xf>
    <xf numFmtId="14" fontId="5" fillId="5" borderId="15" xfId="0" applyNumberFormat="1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30">
    <dxf>
      <font>
        <b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fill>
        <patternFill patternType="solid">
          <fgColor indexed="64"/>
          <bgColor theme="9" tint="0.39997558519241921"/>
        </patternFill>
      </fill>
    </dxf>
    <dxf>
      <numFmt numFmtId="164" formatCode="&quot;R$&quot;\ #,##0.0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</dxf>
    <dxf>
      <numFmt numFmtId="164" formatCode="&quot;R$&quot;\ #,##0.00"/>
      <alignment horizontal="left" vertical="bottom" textRotation="0" wrapText="0" indent="0" justifyLastLine="0" shrinkToFit="0" readingOrder="0"/>
    </dxf>
    <dxf>
      <font>
        <i val="0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</dxfs>
  <tableStyles count="0" defaultTableStyle="TableStyleMedium2" defaultPivotStyle="PivotStyleLight16"/>
  <colors>
    <mruColors>
      <color rgb="FF88C8E4"/>
      <color rgb="FFC5DFFB"/>
      <color rgb="FFF2D500"/>
      <color rgb="FFFFE62D"/>
      <color rgb="FFFF6D09"/>
      <color rgb="FF33CCFF"/>
      <color rgb="FF66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289560</xdr:colOff>
      <xdr:row>3</xdr:row>
      <xdr:rowOff>30480</xdr:rowOff>
    </xdr:from>
    <xdr:to>
      <xdr:col>11</xdr:col>
      <xdr:colOff>434340</xdr:colOff>
      <xdr:row>3</xdr:row>
      <xdr:rowOff>167640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E9A3CF10-5730-1805-D398-43A7B7AA9822}"/>
            </a:ext>
          </a:extLst>
        </xdr:cNvPr>
        <xdr:cNvSpPr/>
      </xdr:nvSpPr>
      <xdr:spPr>
        <a:xfrm>
          <a:off x="12588240" y="586740"/>
          <a:ext cx="144780" cy="13716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297180</xdr:colOff>
      <xdr:row>4</xdr:row>
      <xdr:rowOff>30480</xdr:rowOff>
    </xdr:from>
    <xdr:to>
      <xdr:col>11</xdr:col>
      <xdr:colOff>441960</xdr:colOff>
      <xdr:row>4</xdr:row>
      <xdr:rowOff>167640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215F669-7CF0-4693-AD58-03FD1849E2AF}"/>
            </a:ext>
          </a:extLst>
        </xdr:cNvPr>
        <xdr:cNvSpPr/>
      </xdr:nvSpPr>
      <xdr:spPr>
        <a:xfrm>
          <a:off x="12595860" y="769620"/>
          <a:ext cx="144780" cy="137160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4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11</xdr:col>
      <xdr:colOff>297180</xdr:colOff>
      <xdr:row>5</xdr:row>
      <xdr:rowOff>30480</xdr:rowOff>
    </xdr:from>
    <xdr:to>
      <xdr:col>11</xdr:col>
      <xdr:colOff>441960</xdr:colOff>
      <xdr:row>5</xdr:row>
      <xdr:rowOff>167640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16E0F081-4D71-4041-B03B-98838A3D28FB}"/>
            </a:ext>
          </a:extLst>
        </xdr:cNvPr>
        <xdr:cNvSpPr/>
      </xdr:nvSpPr>
      <xdr:spPr>
        <a:xfrm>
          <a:off x="12595860" y="952500"/>
          <a:ext cx="144780" cy="137160"/>
        </a:xfrm>
        <a:prstGeom prst="ellipse">
          <a:avLst/>
        </a:prstGeom>
        <a:solidFill>
          <a:srgbClr val="FF5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85FD26-556B-43AB-B928-BB7EDDEA45C8}" name="Tabela5" displayName="Tabela5" ref="A1:I35" totalsRowShown="0" headerRowDxfId="0" headerRowBorderDxfId="29" tableBorderDxfId="28" totalsRowBorderDxfId="27">
  <tableColumns count="9">
    <tableColumn id="1" xr3:uid="{9D5B3798-EB9C-44C2-9C07-D909EA7BE2F4}" name="ID" dataDxfId="26"/>
    <tableColumn id="10" xr3:uid="{C72BCE22-E506-4687-9EDB-55B1EC8C31E6}" name="Data da Compra" dataDxfId="25"/>
    <tableColumn id="9" xr3:uid="{F9780277-382A-4819-9B2B-C96C10372FFC}" name="Produto" dataDxfId="24"/>
    <tableColumn id="4" xr3:uid="{C1B5C037-6074-40FC-9DC6-6CDB3C382867}" name="Preço" dataDxfId="23"/>
    <tableColumn id="5" xr3:uid="{1B9ECE17-3D14-431E-B8C1-5BD0BDFFE97A}" name="Vendedor" dataDxfId="22"/>
    <tableColumn id="2" xr3:uid="{EEBECF56-3149-4E45-BDAF-2F9A2AD4AF3F}" name="Sexo" dataDxfId="1"/>
    <tableColumn id="6" xr3:uid="{CE1B46D3-E02E-4E47-9583-730028344119}" name="Quantidade" dataDxfId="21"/>
    <tableColumn id="7" xr3:uid="{7E903ED6-0492-49C0-857C-980A35CC4F2B}" name="Forma de Pagamento" dataDxfId="20"/>
    <tableColumn id="8" xr3:uid="{08736880-1711-4F95-B000-B1D45644BE6A}" name="Loja" dataDxfId="1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A1C594-5A11-4742-ABCA-9C389B3C81AD}" name="Tabela54" displayName="Tabela54" ref="A1:J35" totalsRowShown="0">
  <autoFilter ref="A1:J35" xr:uid="{1BA1C594-5A11-4742-ABCA-9C389B3C81AD}"/>
  <sortState xmlns:xlrd2="http://schemas.microsoft.com/office/spreadsheetml/2017/richdata2" ref="A2:I35">
    <sortCondition ref="A1:A35"/>
  </sortState>
  <tableColumns count="10">
    <tableColumn id="1" xr3:uid="{E894610B-B4D8-4C31-BF19-83D2B8A3DF15}" name="ID"/>
    <tableColumn id="10" xr3:uid="{5313CABC-7B44-42D0-AF6B-7971EDADB5CF}" name="Data da Venda" dataDxfId="18"/>
    <tableColumn id="9" xr3:uid="{06EA4EE2-DD4B-4A7B-B5A5-C4C628E8EFAE}" name="Produto" dataDxfId="17"/>
    <tableColumn id="4" xr3:uid="{5E9C2846-B262-431B-B433-87EDF226E18D}" name="Preço" dataDxfId="16" dataCellStyle="Moeda"/>
    <tableColumn id="5" xr3:uid="{D38BDC12-771F-431D-AE02-01EA9FD71B35}" name="Vendedor" dataDxfId="15"/>
    <tableColumn id="15" xr3:uid="{C94DC7C2-A001-49BB-B00B-979DA1ADE426}" name="Sexo" dataDxfId="14"/>
    <tableColumn id="6" xr3:uid="{31DA6D32-D514-4AC2-A931-E0B531605262}" name="Quantidade" dataDxfId="13"/>
    <tableColumn id="7" xr3:uid="{3125BF66-1FFE-4D8C-9A27-7B89954726BF}" name="Forma de Pagamento" dataDxfId="12"/>
    <tableColumn id="8" xr3:uid="{494CDBB5-DEE6-49AB-91BA-4632DEAE312E}" name="Loja" dataDxfId="11"/>
    <tableColumn id="14" xr3:uid="{F2CC4DFF-0855-4BB4-932D-9199EBD86716}" name="Faturamento Total" dataDxfId="10">
      <calculatedColumnFormula>PRODUCT(Tabela54[[#This Row],[Preço]],Tabela54[[#This Row],[Quantidade]])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AD4DDD-2574-49C1-A3DE-83F8B17E2E15}" name="Tabela49" displayName="Tabela49" ref="A1:F28" totalsRowShown="0" headerRowDxfId="9">
  <autoFilter ref="A1:F28" xr:uid="{D4AD4DDD-2574-49C1-A3DE-83F8B17E2E15}"/>
  <sortState xmlns:xlrd2="http://schemas.microsoft.com/office/spreadsheetml/2017/richdata2" ref="A2:F28">
    <sortCondition ref="A1:A28"/>
  </sortState>
  <tableColumns count="6">
    <tableColumn id="1" xr3:uid="{76E77B95-4E89-4625-A729-F9CDB9852962}" name="Produto"/>
    <tableColumn id="2" xr3:uid="{D64EF3A7-D610-45D3-9A0E-5BA8536541EF}" name="Preço" dataDxfId="8"/>
    <tableColumn id="5" xr3:uid="{94FFF367-43A3-4C6E-9594-51FF526D144B}" name="Entradas" dataDxfId="7"/>
    <tableColumn id="6" xr3:uid="{C7711B3E-0857-4032-AD68-7E5B107E9850}" name="Saídas" dataDxfId="6"/>
    <tableColumn id="11" xr3:uid="{0806FA7A-E31D-4D0B-A528-FD9D983CAA77}" name="Estoque final" dataDxfId="5">
      <calculatedColumnFormula>Tabela49[[#This Row],[Entradas]]-Tabela49[[#This Row],[Saídas]]</calculatedColumnFormula>
    </tableColumn>
    <tableColumn id="12" xr3:uid="{D2CFE065-FACB-4CF1-B660-0AD821CF9983}" name="Faturamento total" dataDxfId="4">
      <calculatedColumnFormula>PRODUCT(Tabela49[[#This Row],[Preço]],Tabela49[[#This Row],[Saídas]])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02B678-8888-4FFF-910E-E37E8488DFDD}" name="Tabela4" displayName="Tabela4" ref="A1:D28" totalsRowShown="0" headerRowDxfId="3">
  <autoFilter ref="A1:D28" xr:uid="{8602B678-8888-4FFF-910E-E37E8488DFDD}"/>
  <sortState xmlns:xlrd2="http://schemas.microsoft.com/office/spreadsheetml/2017/richdata2" ref="A2:D28">
    <sortCondition ref="A1:A28"/>
  </sortState>
  <tableColumns count="4">
    <tableColumn id="1" xr3:uid="{F6B38D27-FFAE-4128-A147-9D5850FF36D0}" name="Produto"/>
    <tableColumn id="2" xr3:uid="{BB73B33A-F392-4B5C-8768-271AED9517EB}" name="Preço"/>
    <tableColumn id="5" xr3:uid="{A75FD632-D648-4FC4-AE4F-D12C23355447}" name="Entradas"/>
    <tableColumn id="6" xr3:uid="{B2603A0C-E740-42F5-973F-EF9D1C1E2F45}" name="Saída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9A69-828D-46F6-A798-5EB77C96CE73}">
  <dimension ref="A1:I35"/>
  <sheetViews>
    <sheetView tabSelected="1" zoomScaleNormal="100" workbookViewId="0">
      <selection activeCell="L26" sqref="L26"/>
    </sheetView>
  </sheetViews>
  <sheetFormatPr defaultRowHeight="15" x14ac:dyDescent="0.25"/>
  <cols>
    <col min="1" max="1" width="8.85546875" customWidth="1"/>
    <col min="2" max="2" width="14.28515625" style="30" customWidth="1"/>
    <col min="3" max="3" width="27.85546875" bestFit="1" customWidth="1"/>
    <col min="4" max="4" width="12" style="6" customWidth="1"/>
    <col min="5" max="5" width="24.5703125" bestFit="1" customWidth="1"/>
    <col min="6" max="6" width="24.5703125" customWidth="1"/>
    <col min="7" max="7" width="12.85546875" customWidth="1"/>
    <col min="8" max="8" width="21.140625" bestFit="1" customWidth="1"/>
    <col min="9" max="9" width="18.7109375" customWidth="1"/>
    <col min="10" max="10" width="14.28515625" customWidth="1"/>
  </cols>
  <sheetData>
    <row r="1" spans="1:9" ht="15.75" thickBot="1" x14ac:dyDescent="0.3">
      <c r="A1" s="44" t="s">
        <v>74</v>
      </c>
      <c r="B1" s="45" t="s">
        <v>83</v>
      </c>
      <c r="C1" s="46" t="s">
        <v>65</v>
      </c>
      <c r="D1" s="46" t="s">
        <v>72</v>
      </c>
      <c r="E1" s="46" t="s">
        <v>59</v>
      </c>
      <c r="F1" s="46" t="s">
        <v>79</v>
      </c>
      <c r="G1" s="46" t="s">
        <v>21</v>
      </c>
      <c r="H1" s="46" t="s">
        <v>66</v>
      </c>
      <c r="I1" s="47" t="s">
        <v>73</v>
      </c>
    </row>
    <row r="2" spans="1:9" x14ac:dyDescent="0.25">
      <c r="A2" s="31">
        <v>1</v>
      </c>
      <c r="B2" s="32">
        <v>42980</v>
      </c>
      <c r="C2" s="33" t="s">
        <v>18</v>
      </c>
      <c r="D2" s="42">
        <v>43.36</v>
      </c>
      <c r="E2" s="33" t="s">
        <v>53</v>
      </c>
      <c r="F2" s="33" t="s">
        <v>80</v>
      </c>
      <c r="G2" s="33">
        <v>7</v>
      </c>
      <c r="H2" s="33" t="s">
        <v>27</v>
      </c>
      <c r="I2" s="34" t="s">
        <v>23</v>
      </c>
    </row>
    <row r="3" spans="1:9" x14ac:dyDescent="0.25">
      <c r="A3" s="35">
        <v>2</v>
      </c>
      <c r="B3" s="36">
        <v>42535</v>
      </c>
      <c r="C3" s="28" t="s">
        <v>71</v>
      </c>
      <c r="D3" s="7">
        <v>45.36</v>
      </c>
      <c r="E3" s="28" t="s">
        <v>81</v>
      </c>
      <c r="F3" s="28" t="s">
        <v>82</v>
      </c>
      <c r="G3" s="28">
        <v>9</v>
      </c>
      <c r="H3" s="28" t="s">
        <v>28</v>
      </c>
      <c r="I3" s="37" t="s">
        <v>24</v>
      </c>
    </row>
    <row r="4" spans="1:9" x14ac:dyDescent="0.25">
      <c r="A4" s="35">
        <v>3</v>
      </c>
      <c r="B4" s="36">
        <v>43946</v>
      </c>
      <c r="C4" s="28" t="s">
        <v>61</v>
      </c>
      <c r="D4" s="7">
        <v>12.52</v>
      </c>
      <c r="E4" s="28" t="s">
        <v>29</v>
      </c>
      <c r="F4" s="28" t="s">
        <v>80</v>
      </c>
      <c r="G4" s="28">
        <v>5</v>
      </c>
      <c r="H4" s="28" t="s">
        <v>27</v>
      </c>
      <c r="I4" s="37" t="s">
        <v>24</v>
      </c>
    </row>
    <row r="5" spans="1:9" x14ac:dyDescent="0.25">
      <c r="A5" s="35">
        <v>4</v>
      </c>
      <c r="B5" s="36">
        <v>42200</v>
      </c>
      <c r="C5" s="28" t="s">
        <v>63</v>
      </c>
      <c r="D5" s="7">
        <v>25.87</v>
      </c>
      <c r="E5" s="28" t="s">
        <v>49</v>
      </c>
      <c r="F5" s="28" t="s">
        <v>82</v>
      </c>
      <c r="G5" s="28">
        <v>7</v>
      </c>
      <c r="H5" s="28" t="s">
        <v>26</v>
      </c>
      <c r="I5" s="37" t="s">
        <v>22</v>
      </c>
    </row>
    <row r="6" spans="1:9" x14ac:dyDescent="0.25">
      <c r="A6" s="35">
        <v>5</v>
      </c>
      <c r="B6" s="36">
        <v>43836</v>
      </c>
      <c r="C6" s="28" t="s">
        <v>11</v>
      </c>
      <c r="D6" s="7">
        <v>18.559999999999999</v>
      </c>
      <c r="E6" s="28" t="s">
        <v>38</v>
      </c>
      <c r="F6" s="28" t="s">
        <v>80</v>
      </c>
      <c r="G6" s="28">
        <v>5</v>
      </c>
      <c r="H6" s="28" t="s">
        <v>26</v>
      </c>
      <c r="I6" s="37" t="s">
        <v>77</v>
      </c>
    </row>
    <row r="7" spans="1:9" x14ac:dyDescent="0.25">
      <c r="A7" s="35">
        <v>6</v>
      </c>
      <c r="B7" s="36">
        <v>42081</v>
      </c>
      <c r="C7" s="28" t="s">
        <v>64</v>
      </c>
      <c r="D7" s="7">
        <v>202.47</v>
      </c>
      <c r="E7" s="28" t="s">
        <v>39</v>
      </c>
      <c r="F7" s="28" t="s">
        <v>80</v>
      </c>
      <c r="G7" s="28">
        <v>7</v>
      </c>
      <c r="H7" s="28" t="s">
        <v>26</v>
      </c>
      <c r="I7" s="37" t="s">
        <v>22</v>
      </c>
    </row>
    <row r="8" spans="1:9" x14ac:dyDescent="0.25">
      <c r="A8" s="35">
        <v>7</v>
      </c>
      <c r="B8" s="36">
        <v>43896</v>
      </c>
      <c r="C8" s="28" t="s">
        <v>3</v>
      </c>
      <c r="D8" s="7">
        <v>13.25</v>
      </c>
      <c r="E8" s="28" t="s">
        <v>36</v>
      </c>
      <c r="F8" s="28" t="s">
        <v>82</v>
      </c>
      <c r="G8" s="28">
        <v>5</v>
      </c>
      <c r="H8" s="28" t="s">
        <v>28</v>
      </c>
      <c r="I8" s="37" t="s">
        <v>77</v>
      </c>
    </row>
    <row r="9" spans="1:9" x14ac:dyDescent="0.25">
      <c r="A9" s="35">
        <v>8</v>
      </c>
      <c r="B9" s="36">
        <v>43141</v>
      </c>
      <c r="C9" s="28" t="s">
        <v>5</v>
      </c>
      <c r="D9" s="7">
        <v>18.96</v>
      </c>
      <c r="E9" s="28" t="s">
        <v>47</v>
      </c>
      <c r="F9" s="28" t="s">
        <v>80</v>
      </c>
      <c r="G9" s="28">
        <v>8</v>
      </c>
      <c r="H9" s="28" t="s">
        <v>26</v>
      </c>
      <c r="I9" s="37" t="s">
        <v>22</v>
      </c>
    </row>
    <row r="10" spans="1:9" x14ac:dyDescent="0.25">
      <c r="A10" s="35">
        <v>9</v>
      </c>
      <c r="B10" s="36">
        <v>43441</v>
      </c>
      <c r="C10" s="28" t="s">
        <v>7</v>
      </c>
      <c r="D10" s="7">
        <v>17.98</v>
      </c>
      <c r="E10" s="28" t="s">
        <v>42</v>
      </c>
      <c r="F10" s="28" t="s">
        <v>82</v>
      </c>
      <c r="G10" s="28">
        <v>14</v>
      </c>
      <c r="H10" s="28" t="s">
        <v>26</v>
      </c>
      <c r="I10" s="37" t="s">
        <v>77</v>
      </c>
    </row>
    <row r="11" spans="1:9" x14ac:dyDescent="0.25">
      <c r="A11" s="35">
        <v>10</v>
      </c>
      <c r="B11" s="36">
        <v>43901</v>
      </c>
      <c r="C11" s="28" t="s">
        <v>8</v>
      </c>
      <c r="D11" s="7">
        <v>18.98</v>
      </c>
      <c r="E11" s="28" t="s">
        <v>58</v>
      </c>
      <c r="F11" s="28" t="s">
        <v>80</v>
      </c>
      <c r="G11" s="28">
        <v>5</v>
      </c>
      <c r="H11" s="28" t="s">
        <v>28</v>
      </c>
      <c r="I11" s="37" t="s">
        <v>24</v>
      </c>
    </row>
    <row r="12" spans="1:9" x14ac:dyDescent="0.25">
      <c r="A12" s="35">
        <v>11</v>
      </c>
      <c r="B12" s="36">
        <v>43307</v>
      </c>
      <c r="C12" s="28" t="s">
        <v>15</v>
      </c>
      <c r="D12" s="7">
        <v>13.85</v>
      </c>
      <c r="E12" s="28" t="s">
        <v>41</v>
      </c>
      <c r="F12" s="28" t="s">
        <v>82</v>
      </c>
      <c r="G12" s="28">
        <v>14</v>
      </c>
      <c r="H12" s="28" t="s">
        <v>26</v>
      </c>
      <c r="I12" s="37" t="s">
        <v>22</v>
      </c>
    </row>
    <row r="13" spans="1:9" x14ac:dyDescent="0.25">
      <c r="A13" s="35">
        <v>12</v>
      </c>
      <c r="B13" s="36">
        <v>43392</v>
      </c>
      <c r="C13" s="28" t="s">
        <v>9</v>
      </c>
      <c r="D13" s="7">
        <v>25.98</v>
      </c>
      <c r="E13" s="28" t="s">
        <v>40</v>
      </c>
      <c r="F13" s="28" t="s">
        <v>80</v>
      </c>
      <c r="G13" s="28">
        <v>11</v>
      </c>
      <c r="H13" s="28" t="s">
        <v>27</v>
      </c>
      <c r="I13" s="37" t="s">
        <v>23</v>
      </c>
    </row>
    <row r="14" spans="1:9" x14ac:dyDescent="0.25">
      <c r="A14" s="35">
        <v>13</v>
      </c>
      <c r="B14" s="36">
        <v>43686</v>
      </c>
      <c r="C14" s="28" t="s">
        <v>13</v>
      </c>
      <c r="D14" s="7">
        <v>18.98</v>
      </c>
      <c r="E14" s="28" t="s">
        <v>47</v>
      </c>
      <c r="F14" s="28" t="s">
        <v>80</v>
      </c>
      <c r="G14" s="28">
        <v>9</v>
      </c>
      <c r="H14" s="28" t="s">
        <v>26</v>
      </c>
      <c r="I14" s="37" t="s">
        <v>77</v>
      </c>
    </row>
    <row r="15" spans="1:9" x14ac:dyDescent="0.25">
      <c r="A15" s="35">
        <v>14</v>
      </c>
      <c r="B15" s="36">
        <v>43147</v>
      </c>
      <c r="C15" s="28" t="s">
        <v>12</v>
      </c>
      <c r="D15" s="7">
        <v>18.559999999999999</v>
      </c>
      <c r="E15" s="28" t="s">
        <v>46</v>
      </c>
      <c r="F15" s="28" t="s">
        <v>80</v>
      </c>
      <c r="G15" s="28">
        <v>15</v>
      </c>
      <c r="H15" s="28" t="s">
        <v>26</v>
      </c>
      <c r="I15" s="37" t="s">
        <v>22</v>
      </c>
    </row>
    <row r="16" spans="1:9" x14ac:dyDescent="0.25">
      <c r="A16" s="35">
        <v>15</v>
      </c>
      <c r="B16" s="36">
        <v>44114</v>
      </c>
      <c r="C16" s="28" t="s">
        <v>6</v>
      </c>
      <c r="D16" s="7">
        <v>13.36</v>
      </c>
      <c r="E16" s="28" t="s">
        <v>32</v>
      </c>
      <c r="F16" s="28" t="s">
        <v>82</v>
      </c>
      <c r="G16" s="28">
        <v>5</v>
      </c>
      <c r="H16" s="28" t="s">
        <v>27</v>
      </c>
      <c r="I16" s="37" t="s">
        <v>23</v>
      </c>
    </row>
    <row r="17" spans="1:9" x14ac:dyDescent="0.25">
      <c r="A17" s="35">
        <v>16</v>
      </c>
      <c r="B17" s="36">
        <v>44104</v>
      </c>
      <c r="C17" s="28" t="s">
        <v>4</v>
      </c>
      <c r="D17" s="7">
        <v>29.98</v>
      </c>
      <c r="E17" s="28" t="s">
        <v>32</v>
      </c>
      <c r="F17" s="28" t="s">
        <v>82</v>
      </c>
      <c r="G17" s="28">
        <v>5</v>
      </c>
      <c r="H17" s="28" t="s">
        <v>27</v>
      </c>
      <c r="I17" s="37" t="s">
        <v>23</v>
      </c>
    </row>
    <row r="18" spans="1:9" x14ac:dyDescent="0.25">
      <c r="A18" s="35">
        <v>17</v>
      </c>
      <c r="B18" s="36">
        <v>42257</v>
      </c>
      <c r="C18" s="28" t="s">
        <v>64</v>
      </c>
      <c r="D18" s="7">
        <v>202.47</v>
      </c>
      <c r="E18" s="28" t="s">
        <v>52</v>
      </c>
      <c r="F18" s="28" t="s">
        <v>82</v>
      </c>
      <c r="G18" s="28">
        <v>11</v>
      </c>
      <c r="H18" s="28" t="s">
        <v>26</v>
      </c>
      <c r="I18" s="37" t="s">
        <v>22</v>
      </c>
    </row>
    <row r="19" spans="1:9" x14ac:dyDescent="0.25">
      <c r="A19" s="35">
        <v>18</v>
      </c>
      <c r="B19" s="36">
        <v>42427</v>
      </c>
      <c r="C19" s="28" t="s">
        <v>19</v>
      </c>
      <c r="D19" s="7">
        <v>35.619999999999997</v>
      </c>
      <c r="E19" s="28" t="s">
        <v>57</v>
      </c>
      <c r="F19" s="28" t="s">
        <v>82</v>
      </c>
      <c r="G19" s="28">
        <v>10</v>
      </c>
      <c r="H19" s="28" t="s">
        <v>28</v>
      </c>
      <c r="I19" s="37" t="s">
        <v>77</v>
      </c>
    </row>
    <row r="20" spans="1:9" x14ac:dyDescent="0.25">
      <c r="A20" s="35">
        <v>19</v>
      </c>
      <c r="B20" s="36">
        <v>42536</v>
      </c>
      <c r="C20" s="28" t="s">
        <v>25</v>
      </c>
      <c r="D20" s="7">
        <v>33.99</v>
      </c>
      <c r="E20" s="28" t="s">
        <v>35</v>
      </c>
      <c r="F20" s="28" t="s">
        <v>82</v>
      </c>
      <c r="G20" s="28">
        <v>9</v>
      </c>
      <c r="H20" s="28" t="s">
        <v>26</v>
      </c>
      <c r="I20" s="37" t="s">
        <v>22</v>
      </c>
    </row>
    <row r="21" spans="1:9" x14ac:dyDescent="0.25">
      <c r="A21" s="35">
        <v>20</v>
      </c>
      <c r="B21" s="36">
        <v>42389</v>
      </c>
      <c r="C21" s="28" t="s">
        <v>2</v>
      </c>
      <c r="D21" s="7">
        <v>17.2</v>
      </c>
      <c r="E21" s="28" t="s">
        <v>48</v>
      </c>
      <c r="F21" s="28" t="s">
        <v>80</v>
      </c>
      <c r="G21" s="28">
        <v>15</v>
      </c>
      <c r="H21" s="28" t="s">
        <v>26</v>
      </c>
      <c r="I21" s="37" t="s">
        <v>22</v>
      </c>
    </row>
    <row r="22" spans="1:9" x14ac:dyDescent="0.25">
      <c r="A22" s="35">
        <v>21</v>
      </c>
      <c r="B22" s="36">
        <v>43195</v>
      </c>
      <c r="C22" s="28" t="s">
        <v>60</v>
      </c>
      <c r="D22" s="7">
        <v>28.9</v>
      </c>
      <c r="E22" s="28" t="s">
        <v>34</v>
      </c>
      <c r="F22" s="28" t="s">
        <v>82</v>
      </c>
      <c r="G22" s="28">
        <v>14</v>
      </c>
      <c r="H22" s="28" t="s">
        <v>26</v>
      </c>
      <c r="I22" s="37" t="s">
        <v>77</v>
      </c>
    </row>
    <row r="23" spans="1:9" x14ac:dyDescent="0.25">
      <c r="A23" s="35">
        <v>22</v>
      </c>
      <c r="B23" s="36">
        <v>43174</v>
      </c>
      <c r="C23" s="28" t="s">
        <v>18</v>
      </c>
      <c r="D23" s="7">
        <v>43.36</v>
      </c>
      <c r="E23" s="28" t="s">
        <v>50</v>
      </c>
      <c r="F23" s="28" t="s">
        <v>82</v>
      </c>
      <c r="G23" s="28">
        <v>8</v>
      </c>
      <c r="H23" s="28" t="s">
        <v>26</v>
      </c>
      <c r="I23" s="37" t="s">
        <v>22</v>
      </c>
    </row>
    <row r="24" spans="1:9" x14ac:dyDescent="0.25">
      <c r="A24" s="35">
        <v>23</v>
      </c>
      <c r="B24" s="36">
        <v>42189</v>
      </c>
      <c r="C24" s="28" t="s">
        <v>64</v>
      </c>
      <c r="D24" s="7">
        <v>202.47</v>
      </c>
      <c r="E24" s="28" t="s">
        <v>0</v>
      </c>
      <c r="F24" s="28" t="s">
        <v>82</v>
      </c>
      <c r="G24" s="28">
        <v>11</v>
      </c>
      <c r="H24" s="28" t="s">
        <v>28</v>
      </c>
      <c r="I24" s="37" t="s">
        <v>24</v>
      </c>
    </row>
    <row r="25" spans="1:9" x14ac:dyDescent="0.25">
      <c r="A25" s="35">
        <v>24</v>
      </c>
      <c r="B25" s="36">
        <v>42491</v>
      </c>
      <c r="C25" s="28" t="s">
        <v>7</v>
      </c>
      <c r="D25" s="7">
        <v>17.98</v>
      </c>
      <c r="E25" s="28" t="s">
        <v>55</v>
      </c>
      <c r="F25" s="28" t="s">
        <v>82</v>
      </c>
      <c r="G25" s="28">
        <v>11</v>
      </c>
      <c r="H25" s="28" t="s">
        <v>27</v>
      </c>
      <c r="I25" s="37" t="s">
        <v>23</v>
      </c>
    </row>
    <row r="26" spans="1:9" x14ac:dyDescent="0.25">
      <c r="A26" s="35">
        <v>25</v>
      </c>
      <c r="B26" s="36">
        <v>42854</v>
      </c>
      <c r="C26" s="28" t="s">
        <v>14</v>
      </c>
      <c r="D26" s="7">
        <v>13.65</v>
      </c>
      <c r="E26" s="28" t="s">
        <v>45</v>
      </c>
      <c r="F26" s="28" t="s">
        <v>82</v>
      </c>
      <c r="G26" s="28">
        <v>11</v>
      </c>
      <c r="H26" s="28" t="s">
        <v>26</v>
      </c>
      <c r="I26" s="37" t="s">
        <v>22</v>
      </c>
    </row>
    <row r="27" spans="1:9" x14ac:dyDescent="0.25">
      <c r="A27" s="35">
        <v>26</v>
      </c>
      <c r="B27" s="36">
        <v>43107</v>
      </c>
      <c r="C27" s="28" t="s">
        <v>20</v>
      </c>
      <c r="D27" s="7">
        <v>458.32</v>
      </c>
      <c r="E27" s="28" t="s">
        <v>51</v>
      </c>
      <c r="F27" s="28" t="s">
        <v>82</v>
      </c>
      <c r="G27" s="28">
        <v>13</v>
      </c>
      <c r="H27" s="28" t="s">
        <v>27</v>
      </c>
      <c r="I27" s="37" t="s">
        <v>77</v>
      </c>
    </row>
    <row r="28" spans="1:9" x14ac:dyDescent="0.25">
      <c r="A28" s="35">
        <v>27</v>
      </c>
      <c r="B28" s="36">
        <v>42145</v>
      </c>
      <c r="C28" s="28" t="s">
        <v>64</v>
      </c>
      <c r="D28" s="7">
        <v>202.47</v>
      </c>
      <c r="E28" s="28" t="s">
        <v>43</v>
      </c>
      <c r="F28" s="28" t="s">
        <v>80</v>
      </c>
      <c r="G28" s="28">
        <v>11</v>
      </c>
      <c r="H28" s="28" t="s">
        <v>26</v>
      </c>
      <c r="I28" s="37" t="s">
        <v>22</v>
      </c>
    </row>
    <row r="29" spans="1:9" x14ac:dyDescent="0.25">
      <c r="A29" s="35">
        <v>28</v>
      </c>
      <c r="B29" s="36">
        <v>43907</v>
      </c>
      <c r="C29" s="28" t="s">
        <v>16</v>
      </c>
      <c r="D29" s="7">
        <v>13.89</v>
      </c>
      <c r="E29" s="28" t="s">
        <v>37</v>
      </c>
      <c r="F29" s="28" t="s">
        <v>82</v>
      </c>
      <c r="G29" s="28">
        <v>5</v>
      </c>
      <c r="H29" s="28" t="s">
        <v>26</v>
      </c>
      <c r="I29" s="37" t="s">
        <v>22</v>
      </c>
    </row>
    <row r="30" spans="1:9" x14ac:dyDescent="0.25">
      <c r="A30" s="35">
        <v>29</v>
      </c>
      <c r="B30" s="36">
        <v>42246</v>
      </c>
      <c r="C30" s="28" t="s">
        <v>64</v>
      </c>
      <c r="D30" s="7">
        <v>202.47</v>
      </c>
      <c r="E30" s="28" t="s">
        <v>31</v>
      </c>
      <c r="F30" s="28" t="s">
        <v>82</v>
      </c>
      <c r="G30" s="28">
        <v>14</v>
      </c>
      <c r="H30" s="28" t="s">
        <v>28</v>
      </c>
      <c r="I30" s="37" t="s">
        <v>77</v>
      </c>
    </row>
    <row r="31" spans="1:9" x14ac:dyDescent="0.25">
      <c r="A31" s="35">
        <v>30</v>
      </c>
      <c r="B31" s="36">
        <v>43608</v>
      </c>
      <c r="C31" s="28" t="s">
        <v>10</v>
      </c>
      <c r="D31" s="7">
        <v>30.98</v>
      </c>
      <c r="E31" s="28" t="s">
        <v>56</v>
      </c>
      <c r="F31" s="28" t="s">
        <v>80</v>
      </c>
      <c r="G31" s="28">
        <v>14</v>
      </c>
      <c r="H31" s="28" t="s">
        <v>26</v>
      </c>
      <c r="I31" s="37" t="s">
        <v>77</v>
      </c>
    </row>
    <row r="32" spans="1:9" x14ac:dyDescent="0.25">
      <c r="A32" s="35">
        <v>31</v>
      </c>
      <c r="B32" s="36">
        <v>43172</v>
      </c>
      <c r="C32" s="28" t="s">
        <v>17</v>
      </c>
      <c r="D32" s="7">
        <v>16.95</v>
      </c>
      <c r="E32" s="28" t="s">
        <v>54</v>
      </c>
      <c r="F32" s="28" t="s">
        <v>82</v>
      </c>
      <c r="G32" s="28">
        <v>11</v>
      </c>
      <c r="H32" s="28" t="s">
        <v>27</v>
      </c>
      <c r="I32" s="37" t="s">
        <v>23</v>
      </c>
    </row>
    <row r="33" spans="1:9" x14ac:dyDescent="0.25">
      <c r="A33" s="35">
        <v>32</v>
      </c>
      <c r="B33" s="36">
        <v>43649</v>
      </c>
      <c r="C33" s="28" t="s">
        <v>70</v>
      </c>
      <c r="D33" s="7">
        <v>26.85</v>
      </c>
      <c r="E33" s="28" t="s">
        <v>33</v>
      </c>
      <c r="F33" s="28" t="s">
        <v>82</v>
      </c>
      <c r="G33" s="28">
        <v>13</v>
      </c>
      <c r="H33" s="28" t="s">
        <v>28</v>
      </c>
      <c r="I33" s="37" t="s">
        <v>24</v>
      </c>
    </row>
    <row r="34" spans="1:9" x14ac:dyDescent="0.25">
      <c r="A34" s="35">
        <v>33</v>
      </c>
      <c r="B34" s="36">
        <v>42435</v>
      </c>
      <c r="C34" s="28" t="s">
        <v>17</v>
      </c>
      <c r="D34" s="7">
        <v>16.95</v>
      </c>
      <c r="E34" s="28" t="s">
        <v>30</v>
      </c>
      <c r="F34" s="28" t="s">
        <v>82</v>
      </c>
      <c r="G34" s="28">
        <v>9</v>
      </c>
      <c r="H34" s="28" t="s">
        <v>26</v>
      </c>
      <c r="I34" s="37" t="s">
        <v>22</v>
      </c>
    </row>
    <row r="35" spans="1:9" x14ac:dyDescent="0.25">
      <c r="A35" s="38">
        <v>34</v>
      </c>
      <c r="B35" s="39">
        <v>43273</v>
      </c>
      <c r="C35" s="40" t="s">
        <v>62</v>
      </c>
      <c r="D35" s="43">
        <v>65</v>
      </c>
      <c r="E35" s="40" t="s">
        <v>44</v>
      </c>
      <c r="F35" s="40" t="s">
        <v>80</v>
      </c>
      <c r="G35" s="40">
        <v>15</v>
      </c>
      <c r="H35" s="40" t="s">
        <v>28</v>
      </c>
      <c r="I35" s="41" t="s">
        <v>24</v>
      </c>
    </row>
  </sheetData>
  <phoneticPr fontId="3" type="noConversion"/>
  <dataValidations count="1">
    <dataValidation type="list" allowBlank="1" showInputMessage="1" showErrorMessage="1" sqref="F1:F1048576" xr:uid="{579B21C5-B4C3-4575-972F-237B90D173B0}">
      <formula1>"Masculino, Feminino"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7C27-229D-4ADD-ADA5-EE274BACF150}">
  <dimension ref="A1:M35"/>
  <sheetViews>
    <sheetView showGridLines="0" topLeftCell="B1" workbookViewId="0">
      <selection activeCell="L14" sqref="L14"/>
    </sheetView>
  </sheetViews>
  <sheetFormatPr defaultRowHeight="15" x14ac:dyDescent="0.25"/>
  <cols>
    <col min="2" max="2" width="16.85546875" style="11" customWidth="1"/>
    <col min="3" max="3" width="27.85546875" bestFit="1" customWidth="1"/>
    <col min="4" max="4" width="12" style="2" customWidth="1"/>
    <col min="5" max="5" width="24.5703125" bestFit="1" customWidth="1"/>
    <col min="6" max="6" width="9.28515625" bestFit="1" customWidth="1"/>
    <col min="7" max="7" width="12.85546875" style="11" customWidth="1"/>
    <col min="8" max="8" width="21.140625" bestFit="1" customWidth="1"/>
    <col min="9" max="9" width="18.7109375" customWidth="1"/>
    <col min="10" max="10" width="16.7109375" style="27" bestFit="1" customWidth="1"/>
    <col min="11" max="11" width="10.28515625" customWidth="1"/>
    <col min="12" max="12" width="9.7109375" customWidth="1"/>
    <col min="13" max="13" width="24" bestFit="1" customWidth="1"/>
  </cols>
  <sheetData>
    <row r="1" spans="1:13" ht="15" customHeight="1" x14ac:dyDescent="0.25">
      <c r="A1" t="s">
        <v>74</v>
      </c>
      <c r="B1" s="11" t="s">
        <v>94</v>
      </c>
      <c r="C1" s="9" t="s">
        <v>65</v>
      </c>
      <c r="D1" s="10" t="s">
        <v>72</v>
      </c>
      <c r="E1" s="9" t="s">
        <v>59</v>
      </c>
      <c r="F1" s="9" t="s">
        <v>79</v>
      </c>
      <c r="G1" s="11" t="s">
        <v>21</v>
      </c>
      <c r="H1" s="9" t="s">
        <v>66</v>
      </c>
      <c r="I1" s="9" t="s">
        <v>73</v>
      </c>
      <c r="J1" s="27" t="s">
        <v>100</v>
      </c>
    </row>
    <row r="2" spans="1:13" x14ac:dyDescent="0.25">
      <c r="A2">
        <v>1</v>
      </c>
      <c r="B2" s="12">
        <v>42980</v>
      </c>
      <c r="C2" s="9" t="s">
        <v>18</v>
      </c>
      <c r="D2" s="10">
        <v>43.36</v>
      </c>
      <c r="E2" s="9" t="s">
        <v>53</v>
      </c>
      <c r="F2" s="9" t="s">
        <v>80</v>
      </c>
      <c r="G2" s="11">
        <v>7</v>
      </c>
      <c r="H2" s="9" t="s">
        <v>27</v>
      </c>
      <c r="I2" s="9" t="s">
        <v>23</v>
      </c>
      <c r="J2" s="27">
        <f>PRODUCT(Tabela54[[#This Row],[Preço]],Tabela54[[#This Row],[Quantidade]])</f>
        <v>303.52</v>
      </c>
    </row>
    <row r="3" spans="1:13" x14ac:dyDescent="0.25">
      <c r="A3">
        <v>2</v>
      </c>
      <c r="B3" s="12">
        <v>42535</v>
      </c>
      <c r="C3" s="9" t="s">
        <v>71</v>
      </c>
      <c r="D3" s="10">
        <v>45.36</v>
      </c>
      <c r="E3" s="9" t="s">
        <v>81</v>
      </c>
      <c r="F3" s="9" t="s">
        <v>82</v>
      </c>
      <c r="G3" s="11">
        <v>9</v>
      </c>
      <c r="H3" s="9" t="s">
        <v>28</v>
      </c>
      <c r="I3" s="9" t="s">
        <v>24</v>
      </c>
      <c r="J3" s="27">
        <f>PRODUCT(Tabela54[[#This Row],[Preço]],Tabela54[[#This Row],[Quantidade]])</f>
        <v>408.24</v>
      </c>
    </row>
    <row r="4" spans="1:13" x14ac:dyDescent="0.25">
      <c r="A4">
        <v>3</v>
      </c>
      <c r="B4" s="12">
        <v>43946</v>
      </c>
      <c r="C4" s="9" t="s">
        <v>61</v>
      </c>
      <c r="D4" s="10">
        <v>12.52</v>
      </c>
      <c r="E4" s="9" t="s">
        <v>29</v>
      </c>
      <c r="F4" s="9" t="s">
        <v>80</v>
      </c>
      <c r="G4" s="11">
        <v>5</v>
      </c>
      <c r="H4" s="9" t="s">
        <v>27</v>
      </c>
      <c r="I4" s="9" t="s">
        <v>24</v>
      </c>
      <c r="J4" s="27">
        <f>PRODUCT(Tabela54[[#This Row],[Preço]],Tabela54[[#This Row],[Quantidade]])</f>
        <v>62.599999999999994</v>
      </c>
      <c r="L4" s="28"/>
      <c r="M4" s="29" t="s">
        <v>101</v>
      </c>
    </row>
    <row r="5" spans="1:13" x14ac:dyDescent="0.25">
      <c r="A5">
        <v>4</v>
      </c>
      <c r="B5" s="12">
        <v>42200</v>
      </c>
      <c r="C5" s="9" t="s">
        <v>63</v>
      </c>
      <c r="D5" s="10">
        <v>25.87</v>
      </c>
      <c r="E5" s="9" t="s">
        <v>49</v>
      </c>
      <c r="F5" s="9" t="s">
        <v>82</v>
      </c>
      <c r="G5" s="11">
        <v>7</v>
      </c>
      <c r="H5" s="9" t="s">
        <v>26</v>
      </c>
      <c r="I5" s="9" t="s">
        <v>22</v>
      </c>
      <c r="J5" s="27">
        <f>PRODUCT(Tabela54[[#This Row],[Preço]],Tabela54[[#This Row],[Quantidade]])</f>
        <v>181.09</v>
      </c>
      <c r="L5" s="28"/>
      <c r="M5" s="28" t="s">
        <v>103</v>
      </c>
    </row>
    <row r="6" spans="1:13" x14ac:dyDescent="0.25">
      <c r="A6">
        <v>5</v>
      </c>
      <c r="B6" s="12">
        <v>43836</v>
      </c>
      <c r="C6" s="9" t="s">
        <v>11</v>
      </c>
      <c r="D6" s="10">
        <v>18.559999999999999</v>
      </c>
      <c r="E6" s="9" t="s">
        <v>38</v>
      </c>
      <c r="F6" s="9" t="s">
        <v>80</v>
      </c>
      <c r="G6" s="11">
        <v>5</v>
      </c>
      <c r="H6" s="9" t="s">
        <v>26</v>
      </c>
      <c r="I6" s="9" t="s">
        <v>77</v>
      </c>
      <c r="J6" s="27">
        <f>PRODUCT(Tabela54[[#This Row],[Preço]],Tabela54[[#This Row],[Quantidade]])</f>
        <v>92.8</v>
      </c>
      <c r="L6" s="28"/>
      <c r="M6" s="28" t="s">
        <v>102</v>
      </c>
    </row>
    <row r="7" spans="1:13" x14ac:dyDescent="0.25">
      <c r="A7">
        <v>6</v>
      </c>
      <c r="B7" s="12">
        <v>42081</v>
      </c>
      <c r="C7" s="9" t="s">
        <v>64</v>
      </c>
      <c r="D7" s="10">
        <v>202.47</v>
      </c>
      <c r="E7" s="9" t="s">
        <v>39</v>
      </c>
      <c r="F7" s="9" t="s">
        <v>80</v>
      </c>
      <c r="G7" s="11">
        <v>7</v>
      </c>
      <c r="H7" s="9" t="s">
        <v>26</v>
      </c>
      <c r="I7" s="9" t="s">
        <v>22</v>
      </c>
      <c r="J7" s="27">
        <f>PRODUCT(Tabela54[[#This Row],[Preço]],Tabela54[[#This Row],[Quantidade]])</f>
        <v>1417.29</v>
      </c>
    </row>
    <row r="8" spans="1:13" x14ac:dyDescent="0.25">
      <c r="A8">
        <v>7</v>
      </c>
      <c r="B8" s="12">
        <v>43896</v>
      </c>
      <c r="C8" s="9" t="s">
        <v>3</v>
      </c>
      <c r="D8" s="10">
        <v>13.25</v>
      </c>
      <c r="E8" s="9" t="s">
        <v>36</v>
      </c>
      <c r="F8" s="9" t="s">
        <v>82</v>
      </c>
      <c r="G8" s="11">
        <v>5</v>
      </c>
      <c r="H8" s="9" t="s">
        <v>28</v>
      </c>
      <c r="I8" s="9" t="s">
        <v>77</v>
      </c>
      <c r="J8" s="27">
        <f>PRODUCT(Tabela54[[#This Row],[Preço]],Tabela54[[#This Row],[Quantidade]])</f>
        <v>66.25</v>
      </c>
    </row>
    <row r="9" spans="1:13" x14ac:dyDescent="0.25">
      <c r="A9">
        <v>8</v>
      </c>
      <c r="B9" s="12">
        <v>43141</v>
      </c>
      <c r="C9" s="9" t="s">
        <v>5</v>
      </c>
      <c r="D9" s="10">
        <v>18.96</v>
      </c>
      <c r="E9" s="9" t="s">
        <v>47</v>
      </c>
      <c r="F9" s="9" t="s">
        <v>80</v>
      </c>
      <c r="G9" s="11">
        <v>8</v>
      </c>
      <c r="H9" s="9" t="s">
        <v>26</v>
      </c>
      <c r="I9" s="9" t="s">
        <v>22</v>
      </c>
      <c r="J9" s="27">
        <f>PRODUCT(Tabela54[[#This Row],[Preço]],Tabela54[[#This Row],[Quantidade]])</f>
        <v>151.68</v>
      </c>
    </row>
    <row r="10" spans="1:13" x14ac:dyDescent="0.25">
      <c r="A10">
        <v>9</v>
      </c>
      <c r="B10" s="12">
        <v>43441</v>
      </c>
      <c r="C10" s="9" t="s">
        <v>7</v>
      </c>
      <c r="D10" s="10">
        <v>17.98</v>
      </c>
      <c r="E10" s="9" t="s">
        <v>42</v>
      </c>
      <c r="F10" s="9" t="s">
        <v>82</v>
      </c>
      <c r="G10" s="11">
        <v>14</v>
      </c>
      <c r="H10" s="9" t="s">
        <v>26</v>
      </c>
      <c r="I10" s="9" t="s">
        <v>77</v>
      </c>
      <c r="J10" s="27">
        <f>PRODUCT(Tabela54[[#This Row],[Preço]],Tabela54[[#This Row],[Quantidade]])</f>
        <v>251.72</v>
      </c>
    </row>
    <row r="11" spans="1:13" x14ac:dyDescent="0.25">
      <c r="A11">
        <v>10</v>
      </c>
      <c r="B11" s="12">
        <v>43901</v>
      </c>
      <c r="C11" s="9" t="s">
        <v>8</v>
      </c>
      <c r="D11" s="10">
        <v>18.98</v>
      </c>
      <c r="E11" s="9" t="s">
        <v>58</v>
      </c>
      <c r="F11" s="9" t="s">
        <v>80</v>
      </c>
      <c r="G11" s="11">
        <v>5</v>
      </c>
      <c r="H11" s="9" t="s">
        <v>28</v>
      </c>
      <c r="I11" s="9" t="s">
        <v>24</v>
      </c>
      <c r="J11" s="27">
        <f>PRODUCT(Tabela54[[#This Row],[Preço]],Tabela54[[#This Row],[Quantidade]])</f>
        <v>94.9</v>
      </c>
    </row>
    <row r="12" spans="1:13" x14ac:dyDescent="0.25">
      <c r="A12">
        <v>11</v>
      </c>
      <c r="B12" s="12">
        <v>43307</v>
      </c>
      <c r="C12" s="9" t="s">
        <v>15</v>
      </c>
      <c r="D12" s="10">
        <v>13.85</v>
      </c>
      <c r="E12" s="9" t="s">
        <v>41</v>
      </c>
      <c r="F12" s="9" t="s">
        <v>82</v>
      </c>
      <c r="G12" s="11">
        <v>14</v>
      </c>
      <c r="H12" s="9" t="s">
        <v>26</v>
      </c>
      <c r="I12" s="9" t="s">
        <v>22</v>
      </c>
      <c r="J12" s="27">
        <f>PRODUCT(Tabela54[[#This Row],[Preço]],Tabela54[[#This Row],[Quantidade]])</f>
        <v>193.9</v>
      </c>
    </row>
    <row r="13" spans="1:13" x14ac:dyDescent="0.25">
      <c r="A13">
        <v>12</v>
      </c>
      <c r="B13" s="12">
        <v>43392</v>
      </c>
      <c r="C13" s="9" t="s">
        <v>9</v>
      </c>
      <c r="D13" s="10">
        <v>25.98</v>
      </c>
      <c r="E13" s="9" t="s">
        <v>40</v>
      </c>
      <c r="F13" s="9" t="s">
        <v>80</v>
      </c>
      <c r="G13" s="11">
        <v>11</v>
      </c>
      <c r="H13" s="9" t="s">
        <v>27</v>
      </c>
      <c r="I13" s="9" t="s">
        <v>23</v>
      </c>
      <c r="J13" s="27">
        <f>PRODUCT(Tabela54[[#This Row],[Preço]],Tabela54[[#This Row],[Quantidade]])</f>
        <v>285.78000000000003</v>
      </c>
    </row>
    <row r="14" spans="1:13" x14ac:dyDescent="0.25">
      <c r="A14">
        <v>13</v>
      </c>
      <c r="B14" s="12">
        <v>43686</v>
      </c>
      <c r="C14" s="9" t="s">
        <v>13</v>
      </c>
      <c r="D14" s="10">
        <v>18.98</v>
      </c>
      <c r="E14" s="9" t="s">
        <v>47</v>
      </c>
      <c r="F14" s="9" t="s">
        <v>80</v>
      </c>
      <c r="G14" s="11">
        <v>9</v>
      </c>
      <c r="H14" s="9" t="s">
        <v>26</v>
      </c>
      <c r="I14" s="9" t="s">
        <v>77</v>
      </c>
      <c r="J14" s="27">
        <f>PRODUCT(Tabela54[[#This Row],[Preço]],Tabela54[[#This Row],[Quantidade]])</f>
        <v>170.82</v>
      </c>
    </row>
    <row r="15" spans="1:13" x14ac:dyDescent="0.25">
      <c r="A15">
        <v>14</v>
      </c>
      <c r="B15" s="12">
        <v>43147</v>
      </c>
      <c r="C15" s="9" t="s">
        <v>12</v>
      </c>
      <c r="D15" s="10">
        <v>18.559999999999999</v>
      </c>
      <c r="E15" s="9" t="s">
        <v>46</v>
      </c>
      <c r="F15" s="9" t="s">
        <v>80</v>
      </c>
      <c r="G15" s="11">
        <v>15</v>
      </c>
      <c r="H15" s="9" t="s">
        <v>26</v>
      </c>
      <c r="I15" s="9" t="s">
        <v>22</v>
      </c>
      <c r="J15" s="27">
        <f>PRODUCT(Tabela54[[#This Row],[Preço]],Tabela54[[#This Row],[Quantidade]])</f>
        <v>278.39999999999998</v>
      </c>
    </row>
    <row r="16" spans="1:13" x14ac:dyDescent="0.25">
      <c r="A16">
        <v>15</v>
      </c>
      <c r="B16" s="12">
        <v>44114</v>
      </c>
      <c r="C16" s="9" t="s">
        <v>6</v>
      </c>
      <c r="D16" s="10">
        <v>13.36</v>
      </c>
      <c r="E16" s="9" t="s">
        <v>32</v>
      </c>
      <c r="F16" s="9" t="s">
        <v>82</v>
      </c>
      <c r="G16" s="11">
        <v>5</v>
      </c>
      <c r="H16" s="9" t="s">
        <v>27</v>
      </c>
      <c r="I16" s="9" t="s">
        <v>77</v>
      </c>
      <c r="J16" s="27">
        <f>PRODUCT(Tabela54[[#This Row],[Preço]],Tabela54[[#This Row],[Quantidade]])</f>
        <v>66.8</v>
      </c>
    </row>
    <row r="17" spans="1:10" x14ac:dyDescent="0.25">
      <c r="A17">
        <v>16</v>
      </c>
      <c r="B17" s="12">
        <v>44104</v>
      </c>
      <c r="C17" s="9" t="s">
        <v>4</v>
      </c>
      <c r="D17" s="10">
        <v>29.98</v>
      </c>
      <c r="E17" s="9" t="s">
        <v>32</v>
      </c>
      <c r="F17" s="9" t="s">
        <v>82</v>
      </c>
      <c r="G17" s="11">
        <v>5</v>
      </c>
      <c r="H17" s="9" t="s">
        <v>27</v>
      </c>
      <c r="I17" s="9" t="s">
        <v>23</v>
      </c>
      <c r="J17" s="27">
        <f>PRODUCT(Tabela54[[#This Row],[Preço]],Tabela54[[#This Row],[Quantidade]])</f>
        <v>149.9</v>
      </c>
    </row>
    <row r="18" spans="1:10" x14ac:dyDescent="0.25">
      <c r="A18">
        <v>17</v>
      </c>
      <c r="B18" s="12">
        <v>42257</v>
      </c>
      <c r="C18" s="9" t="s">
        <v>64</v>
      </c>
      <c r="D18" s="10">
        <v>202.47</v>
      </c>
      <c r="E18" s="9" t="s">
        <v>52</v>
      </c>
      <c r="F18" s="9" t="s">
        <v>82</v>
      </c>
      <c r="G18" s="11">
        <v>11</v>
      </c>
      <c r="H18" s="9" t="s">
        <v>26</v>
      </c>
      <c r="I18" s="9" t="s">
        <v>22</v>
      </c>
      <c r="J18" s="27">
        <f>PRODUCT(Tabela54[[#This Row],[Preço]],Tabela54[[#This Row],[Quantidade]])</f>
        <v>2227.17</v>
      </c>
    </row>
    <row r="19" spans="1:10" x14ac:dyDescent="0.25">
      <c r="A19">
        <v>18</v>
      </c>
      <c r="B19" s="12">
        <v>42427</v>
      </c>
      <c r="C19" s="9" t="s">
        <v>19</v>
      </c>
      <c r="D19" s="10">
        <v>35.619999999999997</v>
      </c>
      <c r="E19" s="9" t="s">
        <v>57</v>
      </c>
      <c r="F19" s="9" t="s">
        <v>82</v>
      </c>
      <c r="G19" s="11">
        <v>10</v>
      </c>
      <c r="H19" s="9" t="s">
        <v>28</v>
      </c>
      <c r="I19" s="9" t="s">
        <v>77</v>
      </c>
      <c r="J19" s="27">
        <f>PRODUCT(Tabela54[[#This Row],[Preço]],Tabela54[[#This Row],[Quantidade]])</f>
        <v>356.2</v>
      </c>
    </row>
    <row r="20" spans="1:10" x14ac:dyDescent="0.25">
      <c r="A20">
        <v>19</v>
      </c>
      <c r="B20" s="12">
        <v>42536</v>
      </c>
      <c r="C20" s="9" t="s">
        <v>25</v>
      </c>
      <c r="D20" s="10">
        <v>33.99</v>
      </c>
      <c r="E20" s="9" t="s">
        <v>35</v>
      </c>
      <c r="F20" s="9" t="s">
        <v>82</v>
      </c>
      <c r="G20" s="11">
        <v>9</v>
      </c>
      <c r="H20" s="9" t="s">
        <v>26</v>
      </c>
      <c r="I20" s="9" t="s">
        <v>22</v>
      </c>
      <c r="J20" s="27">
        <f>PRODUCT(Tabela54[[#This Row],[Preço]],Tabela54[[#This Row],[Quantidade]])</f>
        <v>305.91000000000003</v>
      </c>
    </row>
    <row r="21" spans="1:10" x14ac:dyDescent="0.25">
      <c r="A21">
        <v>20</v>
      </c>
      <c r="B21" s="12">
        <v>42389</v>
      </c>
      <c r="C21" s="9" t="s">
        <v>2</v>
      </c>
      <c r="D21" s="10">
        <v>17.2</v>
      </c>
      <c r="E21" s="9" t="s">
        <v>48</v>
      </c>
      <c r="F21" s="9" t="s">
        <v>82</v>
      </c>
      <c r="G21" s="11">
        <v>15</v>
      </c>
      <c r="H21" s="9" t="s">
        <v>26</v>
      </c>
      <c r="I21" s="9" t="s">
        <v>22</v>
      </c>
      <c r="J21" s="27">
        <f>PRODUCT(Tabela54[[#This Row],[Preço]],Tabela54[[#This Row],[Quantidade]])</f>
        <v>258</v>
      </c>
    </row>
    <row r="22" spans="1:10" x14ac:dyDescent="0.25">
      <c r="A22">
        <v>21</v>
      </c>
      <c r="B22" s="12">
        <v>43195</v>
      </c>
      <c r="C22" s="9" t="s">
        <v>60</v>
      </c>
      <c r="D22" s="10">
        <v>28.9</v>
      </c>
      <c r="E22" s="9" t="s">
        <v>34</v>
      </c>
      <c r="F22" s="9" t="s">
        <v>82</v>
      </c>
      <c r="G22" s="11">
        <v>14</v>
      </c>
      <c r="H22" s="9" t="s">
        <v>26</v>
      </c>
      <c r="I22" s="9" t="s">
        <v>77</v>
      </c>
      <c r="J22" s="27">
        <f>PRODUCT(Tabela54[[#This Row],[Preço]],Tabela54[[#This Row],[Quantidade]])</f>
        <v>404.59999999999997</v>
      </c>
    </row>
    <row r="23" spans="1:10" x14ac:dyDescent="0.25">
      <c r="A23">
        <v>22</v>
      </c>
      <c r="B23" s="12">
        <v>43174</v>
      </c>
      <c r="C23" s="9" t="s">
        <v>18</v>
      </c>
      <c r="D23" s="10">
        <v>43.36</v>
      </c>
      <c r="E23" s="9" t="s">
        <v>50</v>
      </c>
      <c r="F23" s="9" t="s">
        <v>82</v>
      </c>
      <c r="G23" s="11">
        <v>8</v>
      </c>
      <c r="H23" s="9" t="s">
        <v>26</v>
      </c>
      <c r="I23" s="9" t="s">
        <v>22</v>
      </c>
      <c r="J23" s="27">
        <f>PRODUCT(Tabela54[[#This Row],[Preço]],Tabela54[[#This Row],[Quantidade]])</f>
        <v>346.88</v>
      </c>
    </row>
    <row r="24" spans="1:10" x14ac:dyDescent="0.25">
      <c r="A24">
        <v>23</v>
      </c>
      <c r="B24" s="12">
        <v>42189</v>
      </c>
      <c r="C24" s="9" t="s">
        <v>64</v>
      </c>
      <c r="D24" s="10">
        <v>202.47</v>
      </c>
      <c r="E24" s="9" t="s">
        <v>0</v>
      </c>
      <c r="F24" s="9" t="s">
        <v>82</v>
      </c>
      <c r="G24" s="11">
        <v>11</v>
      </c>
      <c r="H24" s="9" t="s">
        <v>28</v>
      </c>
      <c r="I24" s="9" t="s">
        <v>24</v>
      </c>
      <c r="J24" s="27">
        <f>PRODUCT(Tabela54[[#This Row],[Preço]],Tabela54[[#This Row],[Quantidade]])</f>
        <v>2227.17</v>
      </c>
    </row>
    <row r="25" spans="1:10" x14ac:dyDescent="0.25">
      <c r="A25">
        <v>24</v>
      </c>
      <c r="B25" s="12">
        <v>42491</v>
      </c>
      <c r="C25" s="9" t="s">
        <v>7</v>
      </c>
      <c r="D25" s="10">
        <v>17.98</v>
      </c>
      <c r="E25" s="9" t="s">
        <v>55</v>
      </c>
      <c r="F25" s="9" t="s">
        <v>82</v>
      </c>
      <c r="G25" s="11">
        <v>11</v>
      </c>
      <c r="H25" s="9" t="s">
        <v>27</v>
      </c>
      <c r="I25" s="9" t="s">
        <v>23</v>
      </c>
      <c r="J25" s="27">
        <f>PRODUCT(Tabela54[[#This Row],[Preço]],Tabela54[[#This Row],[Quantidade]])</f>
        <v>197.78</v>
      </c>
    </row>
    <row r="26" spans="1:10" x14ac:dyDescent="0.25">
      <c r="A26">
        <v>25</v>
      </c>
      <c r="B26" s="12">
        <v>42854</v>
      </c>
      <c r="C26" s="9" t="s">
        <v>14</v>
      </c>
      <c r="D26" s="10">
        <v>13.65</v>
      </c>
      <c r="E26" s="9" t="s">
        <v>45</v>
      </c>
      <c r="F26" s="9" t="s">
        <v>82</v>
      </c>
      <c r="G26" s="11">
        <v>11</v>
      </c>
      <c r="H26" s="9" t="s">
        <v>26</v>
      </c>
      <c r="I26" s="9" t="s">
        <v>22</v>
      </c>
      <c r="J26" s="27">
        <f>PRODUCT(Tabela54[[#This Row],[Preço]],Tabela54[[#This Row],[Quantidade]])</f>
        <v>150.15</v>
      </c>
    </row>
    <row r="27" spans="1:10" x14ac:dyDescent="0.25">
      <c r="A27">
        <v>26</v>
      </c>
      <c r="B27" s="12">
        <v>43107</v>
      </c>
      <c r="C27" s="9" t="s">
        <v>20</v>
      </c>
      <c r="D27" s="10">
        <v>458.32</v>
      </c>
      <c r="E27" s="9" t="s">
        <v>51</v>
      </c>
      <c r="F27" s="9" t="s">
        <v>82</v>
      </c>
      <c r="G27" s="11">
        <v>13</v>
      </c>
      <c r="H27" s="9" t="s">
        <v>27</v>
      </c>
      <c r="I27" s="9" t="s">
        <v>77</v>
      </c>
      <c r="J27" s="27">
        <f>PRODUCT(Tabela54[[#This Row],[Preço]],Tabela54[[#This Row],[Quantidade]])</f>
        <v>5958.16</v>
      </c>
    </row>
    <row r="28" spans="1:10" x14ac:dyDescent="0.25">
      <c r="A28">
        <v>27</v>
      </c>
      <c r="B28" s="12">
        <v>42145</v>
      </c>
      <c r="C28" s="9" t="s">
        <v>64</v>
      </c>
      <c r="D28" s="10">
        <v>202.47</v>
      </c>
      <c r="E28" s="9" t="s">
        <v>43</v>
      </c>
      <c r="F28" s="9" t="s">
        <v>80</v>
      </c>
      <c r="G28" s="11">
        <v>11</v>
      </c>
      <c r="H28" s="9" t="s">
        <v>26</v>
      </c>
      <c r="I28" s="9" t="s">
        <v>22</v>
      </c>
      <c r="J28" s="27">
        <f>PRODUCT(Tabela54[[#This Row],[Preço]],Tabela54[[#This Row],[Quantidade]])</f>
        <v>2227.17</v>
      </c>
    </row>
    <row r="29" spans="1:10" x14ac:dyDescent="0.25">
      <c r="A29">
        <v>28</v>
      </c>
      <c r="B29" s="12">
        <v>43907</v>
      </c>
      <c r="C29" s="9" t="s">
        <v>16</v>
      </c>
      <c r="D29" s="10">
        <v>13.89</v>
      </c>
      <c r="E29" s="9" t="s">
        <v>37</v>
      </c>
      <c r="F29" s="9" t="s">
        <v>82</v>
      </c>
      <c r="G29" s="11">
        <v>5</v>
      </c>
      <c r="H29" s="9" t="s">
        <v>26</v>
      </c>
      <c r="I29" s="9" t="s">
        <v>22</v>
      </c>
      <c r="J29" s="27">
        <f>PRODUCT(Tabela54[[#This Row],[Preço]],Tabela54[[#This Row],[Quantidade]])</f>
        <v>69.45</v>
      </c>
    </row>
    <row r="30" spans="1:10" x14ac:dyDescent="0.25">
      <c r="A30">
        <v>29</v>
      </c>
      <c r="B30" s="12">
        <v>42246</v>
      </c>
      <c r="C30" s="9" t="s">
        <v>64</v>
      </c>
      <c r="D30" s="10">
        <v>202.47</v>
      </c>
      <c r="E30" s="9" t="s">
        <v>31</v>
      </c>
      <c r="F30" s="9" t="s">
        <v>82</v>
      </c>
      <c r="G30" s="11">
        <v>14</v>
      </c>
      <c r="H30" s="9" t="s">
        <v>28</v>
      </c>
      <c r="I30" s="9" t="s">
        <v>77</v>
      </c>
      <c r="J30" s="27">
        <f>PRODUCT(Tabela54[[#This Row],[Preço]],Tabela54[[#This Row],[Quantidade]])</f>
        <v>2834.58</v>
      </c>
    </row>
    <row r="31" spans="1:10" x14ac:dyDescent="0.25">
      <c r="A31">
        <v>30</v>
      </c>
      <c r="B31" s="12">
        <v>43608</v>
      </c>
      <c r="C31" s="9" t="s">
        <v>10</v>
      </c>
      <c r="D31" s="10">
        <v>30.98</v>
      </c>
      <c r="E31" s="9" t="s">
        <v>56</v>
      </c>
      <c r="F31" s="9" t="s">
        <v>80</v>
      </c>
      <c r="G31" s="11">
        <v>14</v>
      </c>
      <c r="H31" s="9" t="s">
        <v>26</v>
      </c>
      <c r="I31" s="9" t="s">
        <v>77</v>
      </c>
      <c r="J31" s="27">
        <f>PRODUCT(Tabela54[[#This Row],[Preço]],Tabela54[[#This Row],[Quantidade]])</f>
        <v>433.72</v>
      </c>
    </row>
    <row r="32" spans="1:10" x14ac:dyDescent="0.25">
      <c r="A32">
        <v>31</v>
      </c>
      <c r="B32" s="12">
        <v>43172</v>
      </c>
      <c r="C32" s="9" t="s">
        <v>17</v>
      </c>
      <c r="D32" s="10">
        <v>16.95</v>
      </c>
      <c r="E32" s="9" t="s">
        <v>54</v>
      </c>
      <c r="F32" s="9" t="s">
        <v>82</v>
      </c>
      <c r="G32" s="11">
        <v>11</v>
      </c>
      <c r="H32" s="9" t="s">
        <v>27</v>
      </c>
      <c r="I32" s="9" t="s">
        <v>23</v>
      </c>
      <c r="J32" s="27">
        <f>PRODUCT(Tabela54[[#This Row],[Preço]],Tabela54[[#This Row],[Quantidade]])</f>
        <v>186.45</v>
      </c>
    </row>
    <row r="33" spans="1:10" x14ac:dyDescent="0.25">
      <c r="A33">
        <v>32</v>
      </c>
      <c r="B33" s="12">
        <v>43649</v>
      </c>
      <c r="C33" s="9" t="s">
        <v>70</v>
      </c>
      <c r="D33" s="10">
        <v>26.85</v>
      </c>
      <c r="E33" s="9" t="s">
        <v>33</v>
      </c>
      <c r="F33" s="9" t="s">
        <v>82</v>
      </c>
      <c r="G33" s="11">
        <v>13</v>
      </c>
      <c r="H33" s="9" t="s">
        <v>28</v>
      </c>
      <c r="I33" s="9" t="s">
        <v>24</v>
      </c>
      <c r="J33" s="27">
        <f>PRODUCT(Tabela54[[#This Row],[Preço]],Tabela54[[#This Row],[Quantidade]])</f>
        <v>349.05</v>
      </c>
    </row>
    <row r="34" spans="1:10" x14ac:dyDescent="0.25">
      <c r="A34">
        <v>33</v>
      </c>
      <c r="B34" s="12">
        <v>42435</v>
      </c>
      <c r="C34" s="9" t="s">
        <v>17</v>
      </c>
      <c r="D34" s="10">
        <v>16.95</v>
      </c>
      <c r="E34" s="9" t="s">
        <v>30</v>
      </c>
      <c r="F34" s="9" t="s">
        <v>82</v>
      </c>
      <c r="G34" s="11">
        <v>9</v>
      </c>
      <c r="H34" s="9" t="s">
        <v>26</v>
      </c>
      <c r="I34" s="9" t="s">
        <v>22</v>
      </c>
      <c r="J34" s="27">
        <f>PRODUCT(Tabela54[[#This Row],[Preço]],Tabela54[[#This Row],[Quantidade]])</f>
        <v>152.54999999999998</v>
      </c>
    </row>
    <row r="35" spans="1:10" x14ac:dyDescent="0.25">
      <c r="A35">
        <v>34</v>
      </c>
      <c r="B35" s="12">
        <v>43273</v>
      </c>
      <c r="C35" s="9" t="s">
        <v>62</v>
      </c>
      <c r="D35" s="10">
        <v>65</v>
      </c>
      <c r="E35" s="9" t="s">
        <v>44</v>
      </c>
      <c r="F35" s="9" t="s">
        <v>80</v>
      </c>
      <c r="G35" s="11">
        <v>15</v>
      </c>
      <c r="H35" s="9" t="s">
        <v>28</v>
      </c>
      <c r="I35" s="9" t="s">
        <v>24</v>
      </c>
      <c r="J35" s="27">
        <f>PRODUCT(Tabela54[[#This Row],[Preço]],Tabela54[[#This Row],[Quantidade]])</f>
        <v>975</v>
      </c>
    </row>
  </sheetData>
  <conditionalFormatting sqref="J2:J35">
    <cfRule type="iconSet" priority="1">
      <iconSet>
        <cfvo type="percent" val="0"/>
        <cfvo type="num" val="100" gte="0"/>
        <cfvo type="num" val="500"/>
      </iconSet>
    </cfRule>
  </conditionalFormatting>
  <dataValidations disablePrompts="1" count="1">
    <dataValidation type="list" allowBlank="1" showInputMessage="1" showErrorMessage="1" sqref="F2:F35" xr:uid="{F1822DC1-A9EF-4BF1-B6F7-F918A2772F5A}">
      <formula1>"Feminino,Masculino,Outros"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40A6-82FC-4108-9442-D5E8FCC459E6}">
  <dimension ref="A1:K28"/>
  <sheetViews>
    <sheetView showGridLines="0" workbookViewId="0">
      <selection activeCell="D9" sqref="D9"/>
    </sheetView>
  </sheetViews>
  <sheetFormatPr defaultRowHeight="15" x14ac:dyDescent="0.25"/>
  <cols>
    <col min="1" max="1" width="29.140625" customWidth="1"/>
    <col min="2" max="2" width="12.5703125" style="9" customWidth="1"/>
    <col min="3" max="3" width="16.5703125" customWidth="1"/>
    <col min="4" max="4" width="14.5703125" customWidth="1"/>
    <col min="5" max="5" width="14.140625" customWidth="1"/>
    <col min="6" max="6" width="16.28515625" style="6" customWidth="1"/>
    <col min="7" max="7" width="12.5703125" customWidth="1"/>
    <col min="8" max="8" width="15.7109375" customWidth="1"/>
    <col min="9" max="9" width="11.5703125" bestFit="1" customWidth="1"/>
    <col min="11" max="11" width="11.5703125" bestFit="1" customWidth="1"/>
  </cols>
  <sheetData>
    <row r="1" spans="1:11" x14ac:dyDescent="0.25">
      <c r="A1" s="21" t="s">
        <v>65</v>
      </c>
      <c r="B1" s="22" t="s">
        <v>72</v>
      </c>
      <c r="C1" s="21" t="s">
        <v>95</v>
      </c>
      <c r="D1" s="21" t="s">
        <v>96</v>
      </c>
      <c r="E1" s="21" t="s">
        <v>97</v>
      </c>
      <c r="F1" s="23" t="s">
        <v>99</v>
      </c>
    </row>
    <row r="2" spans="1:11" x14ac:dyDescent="0.25">
      <c r="A2" t="s">
        <v>6</v>
      </c>
      <c r="B2" s="9">
        <v>13.36</v>
      </c>
      <c r="C2" s="11">
        <v>25</v>
      </c>
      <c r="D2" s="11">
        <v>5</v>
      </c>
      <c r="E2">
        <f>Tabela49[[#This Row],[Entradas]]-Tabela49[[#This Row],[Saídas]]</f>
        <v>20</v>
      </c>
      <c r="F2" s="6">
        <f>PRODUCT(Tabela49[[#This Row],[Preço]],Tabela49[[#This Row],[Saídas]])</f>
        <v>66.8</v>
      </c>
    </row>
    <row r="3" spans="1:11" s="8" customFormat="1" x14ac:dyDescent="0.25">
      <c r="A3" t="s">
        <v>25</v>
      </c>
      <c r="B3" s="9">
        <v>33.99</v>
      </c>
      <c r="C3" s="11">
        <v>18</v>
      </c>
      <c r="D3" s="11">
        <v>9</v>
      </c>
      <c r="E3" s="8">
        <f>Tabela49[[#This Row],[Entradas]]-Tabela49[[#This Row],[Saídas]]</f>
        <v>9</v>
      </c>
      <c r="F3" s="26">
        <f>PRODUCT(Tabela49[[#This Row],[Preço]],Tabela49[[#This Row],[Saídas]])</f>
        <v>305.91000000000003</v>
      </c>
    </row>
    <row r="4" spans="1:11" x14ac:dyDescent="0.25">
      <c r="A4" t="s">
        <v>61</v>
      </c>
      <c r="B4" s="9">
        <v>12.52</v>
      </c>
      <c r="C4" s="11">
        <v>35</v>
      </c>
      <c r="D4" s="11">
        <v>5</v>
      </c>
      <c r="E4">
        <f>Tabela49[[#This Row],[Entradas]]-Tabela49[[#This Row],[Saídas]]</f>
        <v>30</v>
      </c>
      <c r="F4" s="6">
        <f>PRODUCT(Tabela49[[#This Row],[Preço]],Tabela49[[#This Row],[Saídas]])</f>
        <v>62.599999999999994</v>
      </c>
    </row>
    <row r="5" spans="1:11" x14ac:dyDescent="0.25">
      <c r="A5" t="s">
        <v>60</v>
      </c>
      <c r="B5" s="9">
        <v>28.9</v>
      </c>
      <c r="C5" s="11">
        <v>17</v>
      </c>
      <c r="D5" s="11">
        <v>14</v>
      </c>
      <c r="E5">
        <f>Tabela49[[#This Row],[Entradas]]-Tabela49[[#This Row],[Saídas]]</f>
        <v>3</v>
      </c>
      <c r="F5" s="6">
        <f>PRODUCT(Tabela49[[#This Row],[Preço]],Tabela49[[#This Row],[Saídas]])</f>
        <v>404.59999999999997</v>
      </c>
    </row>
    <row r="6" spans="1:11" x14ac:dyDescent="0.25">
      <c r="A6" t="s">
        <v>12</v>
      </c>
      <c r="B6" s="9">
        <v>18.559999999999999</v>
      </c>
      <c r="C6" s="11">
        <v>26</v>
      </c>
      <c r="D6" s="11">
        <v>15</v>
      </c>
      <c r="E6">
        <f>Tabela49[[#This Row],[Entradas]]-Tabela49[[#This Row],[Saídas]]</f>
        <v>11</v>
      </c>
      <c r="F6" s="6">
        <f>PRODUCT(Tabela49[[#This Row],[Preço]],Tabela49[[#This Row],[Saídas]])</f>
        <v>278.39999999999998</v>
      </c>
    </row>
    <row r="7" spans="1:11" x14ac:dyDescent="0.25">
      <c r="A7" t="s">
        <v>11</v>
      </c>
      <c r="B7" s="9">
        <v>18.559999999999999</v>
      </c>
      <c r="C7" s="11">
        <v>30</v>
      </c>
      <c r="D7" s="11">
        <v>5</v>
      </c>
      <c r="E7">
        <f>Tabela49[[#This Row],[Entradas]]-Tabela49[[#This Row],[Saídas]]</f>
        <v>25</v>
      </c>
      <c r="F7" s="6">
        <f>PRODUCT(Tabela49[[#This Row],[Preço]],Tabela49[[#This Row],[Saídas]])</f>
        <v>92.8</v>
      </c>
      <c r="H7" s="7" t="s">
        <v>84</v>
      </c>
      <c r="I7" s="7">
        <f>SUM(B:B)</f>
        <v>1279.3699999999999</v>
      </c>
      <c r="K7" s="6"/>
    </row>
    <row r="8" spans="1:11" x14ac:dyDescent="0.25">
      <c r="A8" t="s">
        <v>5</v>
      </c>
      <c r="B8" s="9">
        <v>18.96</v>
      </c>
      <c r="C8" s="11">
        <v>19</v>
      </c>
      <c r="D8" s="11">
        <v>8</v>
      </c>
      <c r="E8">
        <f>Tabela49[[#This Row],[Entradas]]-Tabela49[[#This Row],[Saídas]]</f>
        <v>11</v>
      </c>
      <c r="F8" s="6">
        <f>PRODUCT(Tabela49[[#This Row],[Preço]],Tabela49[[#This Row],[Saídas]])</f>
        <v>151.68</v>
      </c>
      <c r="H8" s="7" t="s">
        <v>98</v>
      </c>
      <c r="I8" s="7">
        <f>B16-B17</f>
        <v>16.73</v>
      </c>
    </row>
    <row r="9" spans="1:11" x14ac:dyDescent="0.25">
      <c r="A9" t="s">
        <v>2</v>
      </c>
      <c r="B9" s="9">
        <v>17.2</v>
      </c>
      <c r="C9" s="11">
        <v>27</v>
      </c>
      <c r="D9" s="11">
        <v>15</v>
      </c>
      <c r="E9">
        <f>Tabela49[[#This Row],[Entradas]]-Tabela49[[#This Row],[Saídas]]</f>
        <v>12</v>
      </c>
      <c r="F9" s="6">
        <f>PRODUCT(Tabela49[[#This Row],[Preço]],Tabela49[[#This Row],[Saídas]])</f>
        <v>258</v>
      </c>
      <c r="H9" s="7" t="s">
        <v>86</v>
      </c>
      <c r="I9" s="7">
        <f>PRODUCT(B2,D2)</f>
        <v>66.8</v>
      </c>
    </row>
    <row r="10" spans="1:11" x14ac:dyDescent="0.25">
      <c r="A10" t="s">
        <v>17</v>
      </c>
      <c r="B10" s="9">
        <v>16.95</v>
      </c>
      <c r="C10" s="11">
        <v>42</v>
      </c>
      <c r="D10" s="11">
        <v>20</v>
      </c>
      <c r="E10">
        <f>Tabela49[[#This Row],[Entradas]]-Tabela49[[#This Row],[Saídas]]</f>
        <v>22</v>
      </c>
      <c r="F10" s="6">
        <f>PRODUCT(Tabela49[[#This Row],[Preço]],Tabela49[[#This Row],[Saídas]])</f>
        <v>339</v>
      </c>
      <c r="H10" s="7" t="s">
        <v>87</v>
      </c>
      <c r="I10" s="7">
        <f>B3/D3</f>
        <v>3.7766666666666668</v>
      </c>
    </row>
    <row r="11" spans="1:11" x14ac:dyDescent="0.25">
      <c r="A11" t="s">
        <v>16</v>
      </c>
      <c r="B11" s="9">
        <v>13.89</v>
      </c>
      <c r="C11" s="11">
        <v>25</v>
      </c>
      <c r="D11" s="11">
        <v>5</v>
      </c>
      <c r="E11">
        <f>Tabela49[[#This Row],[Entradas]]-Tabela49[[#This Row],[Saídas]]</f>
        <v>20</v>
      </c>
      <c r="F11" s="6">
        <f>PRODUCT(Tabela49[[#This Row],[Preço]],Tabela49[[#This Row],[Saídas]])</f>
        <v>69.45</v>
      </c>
    </row>
    <row r="12" spans="1:11" x14ac:dyDescent="0.25">
      <c r="A12" t="s">
        <v>15</v>
      </c>
      <c r="B12" s="9">
        <v>13.85</v>
      </c>
      <c r="C12" s="11">
        <v>38</v>
      </c>
      <c r="D12" s="11">
        <v>14</v>
      </c>
      <c r="E12">
        <f>Tabela49[[#This Row],[Entradas]]-Tabela49[[#This Row],[Saídas]]</f>
        <v>24</v>
      </c>
      <c r="F12" s="6">
        <f>PRODUCT(Tabela49[[#This Row],[Preço]],Tabela49[[#This Row],[Saídas]])</f>
        <v>193.9</v>
      </c>
    </row>
    <row r="13" spans="1:11" x14ac:dyDescent="0.25">
      <c r="A13" t="s">
        <v>14</v>
      </c>
      <c r="B13" s="9">
        <v>13.65</v>
      </c>
      <c r="C13" s="11">
        <v>52</v>
      </c>
      <c r="D13" s="11">
        <v>11</v>
      </c>
      <c r="E13">
        <f>Tabela49[[#This Row],[Entradas]]-Tabela49[[#This Row],[Saídas]]</f>
        <v>41</v>
      </c>
      <c r="F13" s="6">
        <f>PRODUCT(Tabela49[[#This Row],[Preço]],Tabela49[[#This Row],[Saídas]])</f>
        <v>150.15</v>
      </c>
    </row>
    <row r="14" spans="1:11" x14ac:dyDescent="0.25">
      <c r="A14" t="s">
        <v>9</v>
      </c>
      <c r="B14" s="9">
        <v>25.98</v>
      </c>
      <c r="C14" s="11">
        <v>31</v>
      </c>
      <c r="D14" s="11">
        <v>11</v>
      </c>
      <c r="E14">
        <f>Tabela49[[#This Row],[Entradas]]-Tabela49[[#This Row],[Saídas]]</f>
        <v>20</v>
      </c>
      <c r="F14" s="6">
        <f>PRODUCT(Tabela49[[#This Row],[Preço]],Tabela49[[#This Row],[Saídas]])</f>
        <v>285.78000000000003</v>
      </c>
    </row>
    <row r="15" spans="1:11" x14ac:dyDescent="0.25">
      <c r="A15" t="s">
        <v>7</v>
      </c>
      <c r="B15" s="9">
        <v>17.98</v>
      </c>
      <c r="C15" s="11">
        <v>53</v>
      </c>
      <c r="D15" s="11">
        <v>25</v>
      </c>
      <c r="E15">
        <f>Tabela49[[#This Row],[Entradas]]-Tabela49[[#This Row],[Saídas]]</f>
        <v>28</v>
      </c>
      <c r="F15" s="6">
        <f>PRODUCT(Tabela49[[#This Row],[Preço]],Tabela49[[#This Row],[Saídas]])</f>
        <v>449.5</v>
      </c>
    </row>
    <row r="16" spans="1:11" x14ac:dyDescent="0.25">
      <c r="A16" t="s">
        <v>4</v>
      </c>
      <c r="B16" s="9">
        <v>29.98</v>
      </c>
      <c r="C16" s="11">
        <v>28</v>
      </c>
      <c r="D16" s="11">
        <v>5</v>
      </c>
      <c r="E16">
        <f>Tabela49[[#This Row],[Entradas]]-Tabela49[[#This Row],[Saídas]]</f>
        <v>23</v>
      </c>
      <c r="F16" s="6">
        <f>PRODUCT(Tabela49[[#This Row],[Preço]],Tabela49[[#This Row],[Saídas]])</f>
        <v>149.9</v>
      </c>
    </row>
    <row r="17" spans="1:6" x14ac:dyDescent="0.25">
      <c r="A17" t="s">
        <v>3</v>
      </c>
      <c r="B17" s="9">
        <v>13.25</v>
      </c>
      <c r="C17" s="11">
        <v>34</v>
      </c>
      <c r="D17" s="11">
        <v>5</v>
      </c>
      <c r="E17">
        <f>Tabela49[[#This Row],[Entradas]]-Tabela49[[#This Row],[Saídas]]</f>
        <v>29</v>
      </c>
      <c r="F17" s="6">
        <f>PRODUCT(Tabela49[[#This Row],[Preço]],Tabela49[[#This Row],[Saídas]])</f>
        <v>66.25</v>
      </c>
    </row>
    <row r="18" spans="1:6" x14ac:dyDescent="0.25">
      <c r="A18" t="s">
        <v>18</v>
      </c>
      <c r="B18" s="9">
        <v>43.36</v>
      </c>
      <c r="C18" s="11">
        <v>18</v>
      </c>
      <c r="D18" s="11">
        <v>15</v>
      </c>
      <c r="E18">
        <f>Tabela49[[#This Row],[Entradas]]-Tabela49[[#This Row],[Saídas]]</f>
        <v>3</v>
      </c>
      <c r="F18" s="6">
        <f>PRODUCT(Tabela49[[#This Row],[Preço]],Tabela49[[#This Row],[Saídas]])</f>
        <v>650.4</v>
      </c>
    </row>
    <row r="19" spans="1:6" x14ac:dyDescent="0.25">
      <c r="A19" t="s">
        <v>71</v>
      </c>
      <c r="B19" s="9">
        <v>45.36</v>
      </c>
      <c r="C19" s="11">
        <v>10</v>
      </c>
      <c r="D19" s="11">
        <v>9</v>
      </c>
      <c r="E19">
        <f>Tabela49[[#This Row],[Entradas]]-Tabela49[[#This Row],[Saídas]]</f>
        <v>1</v>
      </c>
      <c r="F19" s="6">
        <f>PRODUCT(Tabela49[[#This Row],[Preço]],Tabela49[[#This Row],[Saídas]])</f>
        <v>408.24</v>
      </c>
    </row>
    <row r="20" spans="1:6" x14ac:dyDescent="0.25">
      <c r="A20" t="s">
        <v>63</v>
      </c>
      <c r="B20" s="9">
        <v>25.87</v>
      </c>
      <c r="C20" s="11">
        <v>19</v>
      </c>
      <c r="D20" s="11">
        <v>7</v>
      </c>
      <c r="E20">
        <f>Tabela49[[#This Row],[Entradas]]-Tabela49[[#This Row],[Saídas]]</f>
        <v>12</v>
      </c>
      <c r="F20" s="6">
        <f>PRODUCT(Tabela49[[#This Row],[Preço]],Tabela49[[#This Row],[Saídas]])</f>
        <v>181.09</v>
      </c>
    </row>
    <row r="21" spans="1:6" x14ac:dyDescent="0.25">
      <c r="A21" t="s">
        <v>62</v>
      </c>
      <c r="B21" s="9">
        <v>65</v>
      </c>
      <c r="C21" s="11">
        <v>52</v>
      </c>
      <c r="D21" s="11">
        <v>15</v>
      </c>
      <c r="E21">
        <f>Tabela49[[#This Row],[Entradas]]-Tabela49[[#This Row],[Saídas]]</f>
        <v>37</v>
      </c>
      <c r="F21" s="6">
        <f>PRODUCT(Tabela49[[#This Row],[Preço]],Tabela49[[#This Row],[Saídas]])</f>
        <v>975</v>
      </c>
    </row>
    <row r="22" spans="1:6" x14ac:dyDescent="0.25">
      <c r="A22" t="s">
        <v>8</v>
      </c>
      <c r="B22" s="9">
        <v>18.98</v>
      </c>
      <c r="C22" s="11">
        <v>26</v>
      </c>
      <c r="D22" s="11">
        <v>5</v>
      </c>
      <c r="E22">
        <f>Tabela49[[#This Row],[Entradas]]-Tabela49[[#This Row],[Saídas]]</f>
        <v>21</v>
      </c>
      <c r="F22" s="6">
        <f>PRODUCT(Tabela49[[#This Row],[Preço]],Tabela49[[#This Row],[Saídas]])</f>
        <v>94.9</v>
      </c>
    </row>
    <row r="23" spans="1:6" s="8" customFormat="1" x14ac:dyDescent="0.25">
      <c r="A23" s="8" t="s">
        <v>20</v>
      </c>
      <c r="B23" s="24">
        <v>458.32</v>
      </c>
      <c r="C23" s="25">
        <v>37</v>
      </c>
      <c r="D23" s="25">
        <v>13</v>
      </c>
      <c r="E23" s="8">
        <f>Tabela49[[#This Row],[Entradas]]-Tabela49[[#This Row],[Saídas]]</f>
        <v>24</v>
      </c>
      <c r="F23" s="26">
        <f>PRODUCT(Tabela49[[#This Row],[Preço]],Tabela49[[#This Row],[Saídas]])</f>
        <v>5958.16</v>
      </c>
    </row>
    <row r="24" spans="1:6" x14ac:dyDescent="0.25">
      <c r="A24" t="s">
        <v>19</v>
      </c>
      <c r="B24" s="9">
        <v>35.619999999999997</v>
      </c>
      <c r="C24" s="11">
        <v>12</v>
      </c>
      <c r="D24" s="11">
        <v>10</v>
      </c>
      <c r="E24">
        <f>Tabela49[[#This Row],[Entradas]]-Tabela49[[#This Row],[Saídas]]</f>
        <v>2</v>
      </c>
      <c r="F24" s="6">
        <f>PRODUCT(Tabela49[[#This Row],[Preço]],Tabela49[[#This Row],[Saídas]])</f>
        <v>356.2</v>
      </c>
    </row>
    <row r="25" spans="1:6" x14ac:dyDescent="0.25">
      <c r="A25" t="s">
        <v>13</v>
      </c>
      <c r="B25" s="9">
        <v>18.98</v>
      </c>
      <c r="C25" s="11">
        <v>20</v>
      </c>
      <c r="D25" s="11">
        <v>9</v>
      </c>
      <c r="E25">
        <f>Tabela49[[#This Row],[Entradas]]-Tabela49[[#This Row],[Saídas]]</f>
        <v>11</v>
      </c>
      <c r="F25" s="6">
        <f>PRODUCT(Tabela49[[#This Row],[Preço]],Tabela49[[#This Row],[Saídas]])</f>
        <v>170.82</v>
      </c>
    </row>
    <row r="26" spans="1:6" x14ac:dyDescent="0.25">
      <c r="A26" t="s">
        <v>64</v>
      </c>
      <c r="B26" s="9">
        <v>202.47</v>
      </c>
      <c r="C26" s="11">
        <v>83</v>
      </c>
      <c r="D26" s="11">
        <v>54</v>
      </c>
      <c r="E26">
        <f>Tabela49[[#This Row],[Entradas]]-Tabela49[[#This Row],[Saídas]]</f>
        <v>29</v>
      </c>
      <c r="F26" s="6">
        <f>PRODUCT(Tabela49[[#This Row],[Preço]],Tabela49[[#This Row],[Saídas]])</f>
        <v>10933.38</v>
      </c>
    </row>
    <row r="27" spans="1:6" x14ac:dyDescent="0.25">
      <c r="A27" t="s">
        <v>70</v>
      </c>
      <c r="B27" s="9">
        <v>26.85</v>
      </c>
      <c r="C27" s="11">
        <v>48</v>
      </c>
      <c r="D27" s="11">
        <v>13</v>
      </c>
      <c r="E27">
        <f>Tabela49[[#This Row],[Entradas]]-Tabela49[[#This Row],[Saídas]]</f>
        <v>35</v>
      </c>
      <c r="F27" s="6">
        <f>PRODUCT(Tabela49[[#This Row],[Preço]],Tabela49[[#This Row],[Saídas]])</f>
        <v>349.05</v>
      </c>
    </row>
    <row r="28" spans="1:6" x14ac:dyDescent="0.25">
      <c r="A28" t="s">
        <v>10</v>
      </c>
      <c r="B28" s="9">
        <v>30.98</v>
      </c>
      <c r="C28" s="11">
        <v>52</v>
      </c>
      <c r="D28" s="11">
        <v>14</v>
      </c>
      <c r="E28">
        <f>Tabela49[[#This Row],[Entradas]]-Tabela49[[#This Row],[Saídas]]</f>
        <v>38</v>
      </c>
      <c r="F28" s="6">
        <f>PRODUCT(Tabela49[[#This Row],[Preço]],Tabela49[[#This Row],[Saídas]])</f>
        <v>433.72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9290-CF3F-4CB7-AF42-5C43800EFADB}">
  <dimension ref="A1:I28"/>
  <sheetViews>
    <sheetView showGridLines="0" workbookViewId="0">
      <selection activeCell="E17" sqref="E17"/>
    </sheetView>
  </sheetViews>
  <sheetFormatPr defaultRowHeight="15" x14ac:dyDescent="0.25"/>
  <cols>
    <col min="1" max="1" width="29.140625" customWidth="1"/>
    <col min="2" max="2" width="18.28515625" customWidth="1"/>
    <col min="3" max="3" width="16.5703125" customWidth="1"/>
    <col min="4" max="4" width="14.5703125" customWidth="1"/>
    <col min="7" max="7" width="18" customWidth="1"/>
    <col min="8" max="8" width="15.7109375" customWidth="1"/>
  </cols>
  <sheetData>
    <row r="1" spans="1:9" x14ac:dyDescent="0.25">
      <c r="A1" s="21" t="s">
        <v>65</v>
      </c>
      <c r="B1" s="21" t="s">
        <v>72</v>
      </c>
      <c r="C1" s="21" t="s">
        <v>95</v>
      </c>
      <c r="D1" s="21" t="s">
        <v>96</v>
      </c>
    </row>
    <row r="2" spans="1:9" x14ac:dyDescent="0.25">
      <c r="A2" t="s">
        <v>6</v>
      </c>
      <c r="B2">
        <v>13.36</v>
      </c>
      <c r="C2">
        <v>5</v>
      </c>
    </row>
    <row r="3" spans="1:9" x14ac:dyDescent="0.25">
      <c r="A3" t="s">
        <v>25</v>
      </c>
      <c r="B3">
        <v>33.99</v>
      </c>
      <c r="C3">
        <v>9</v>
      </c>
    </row>
    <row r="4" spans="1:9" x14ac:dyDescent="0.25">
      <c r="A4" t="s">
        <v>61</v>
      </c>
      <c r="B4">
        <v>12.52</v>
      </c>
      <c r="C4">
        <v>5</v>
      </c>
      <c r="I4" t="s">
        <v>84</v>
      </c>
    </row>
    <row r="5" spans="1:9" x14ac:dyDescent="0.25">
      <c r="A5" t="s">
        <v>60</v>
      </c>
      <c r="B5">
        <v>28.9</v>
      </c>
      <c r="C5">
        <v>14</v>
      </c>
      <c r="I5" t="s">
        <v>85</v>
      </c>
    </row>
    <row r="6" spans="1:9" x14ac:dyDescent="0.25">
      <c r="A6" t="s">
        <v>12</v>
      </c>
      <c r="B6">
        <v>18.559999999999999</v>
      </c>
      <c r="C6">
        <v>15</v>
      </c>
      <c r="I6" t="s">
        <v>86</v>
      </c>
    </row>
    <row r="7" spans="1:9" x14ac:dyDescent="0.25">
      <c r="A7" t="s">
        <v>11</v>
      </c>
      <c r="B7">
        <v>18.559999999999999</v>
      </c>
      <c r="C7">
        <v>5</v>
      </c>
      <c r="I7" t="s">
        <v>87</v>
      </c>
    </row>
    <row r="8" spans="1:9" x14ac:dyDescent="0.25">
      <c r="A8" t="s">
        <v>5</v>
      </c>
      <c r="B8">
        <v>18.96</v>
      </c>
      <c r="C8">
        <v>8</v>
      </c>
    </row>
    <row r="9" spans="1:9" x14ac:dyDescent="0.25">
      <c r="A9" t="s">
        <v>2</v>
      </c>
      <c r="B9">
        <v>17.2</v>
      </c>
      <c r="C9">
        <v>15</v>
      </c>
    </row>
    <row r="10" spans="1:9" x14ac:dyDescent="0.25">
      <c r="A10" t="s">
        <v>17</v>
      </c>
      <c r="B10">
        <v>16.95</v>
      </c>
      <c r="C10">
        <v>20</v>
      </c>
    </row>
    <row r="11" spans="1:9" x14ac:dyDescent="0.25">
      <c r="A11" t="s">
        <v>16</v>
      </c>
      <c r="B11">
        <v>13.89</v>
      </c>
      <c r="C11">
        <v>5</v>
      </c>
    </row>
    <row r="12" spans="1:9" x14ac:dyDescent="0.25">
      <c r="A12" t="s">
        <v>15</v>
      </c>
      <c r="B12">
        <v>13.85</v>
      </c>
      <c r="C12">
        <v>14</v>
      </c>
    </row>
    <row r="13" spans="1:9" x14ac:dyDescent="0.25">
      <c r="A13" t="s">
        <v>14</v>
      </c>
      <c r="B13">
        <v>13.65</v>
      </c>
      <c r="C13">
        <v>11</v>
      </c>
    </row>
    <row r="14" spans="1:9" x14ac:dyDescent="0.25">
      <c r="A14" t="s">
        <v>9</v>
      </c>
      <c r="B14">
        <v>25.98</v>
      </c>
      <c r="C14">
        <v>11</v>
      </c>
    </row>
    <row r="15" spans="1:9" x14ac:dyDescent="0.25">
      <c r="A15" t="s">
        <v>7</v>
      </c>
      <c r="B15">
        <v>17.98</v>
      </c>
      <c r="C15">
        <v>25</v>
      </c>
    </row>
    <row r="16" spans="1:9" x14ac:dyDescent="0.25">
      <c r="A16" t="s">
        <v>4</v>
      </c>
      <c r="B16">
        <v>29.98</v>
      </c>
      <c r="C16">
        <v>5</v>
      </c>
    </row>
    <row r="17" spans="1:3" x14ac:dyDescent="0.25">
      <c r="A17" t="s">
        <v>3</v>
      </c>
      <c r="B17">
        <v>13.25</v>
      </c>
      <c r="C17">
        <v>5</v>
      </c>
    </row>
    <row r="18" spans="1:3" x14ac:dyDescent="0.25">
      <c r="A18" t="s">
        <v>18</v>
      </c>
      <c r="B18">
        <v>43.36</v>
      </c>
      <c r="C18">
        <v>15</v>
      </c>
    </row>
    <row r="19" spans="1:3" x14ac:dyDescent="0.25">
      <c r="A19" t="s">
        <v>71</v>
      </c>
      <c r="B19">
        <v>45.36</v>
      </c>
      <c r="C19">
        <v>9</v>
      </c>
    </row>
    <row r="20" spans="1:3" x14ac:dyDescent="0.25">
      <c r="A20" t="s">
        <v>63</v>
      </c>
      <c r="B20">
        <v>25.87</v>
      </c>
      <c r="C20">
        <v>7</v>
      </c>
    </row>
    <row r="21" spans="1:3" x14ac:dyDescent="0.25">
      <c r="A21" t="s">
        <v>62</v>
      </c>
      <c r="B21">
        <v>65</v>
      </c>
      <c r="C21">
        <v>15</v>
      </c>
    </row>
    <row r="22" spans="1:3" x14ac:dyDescent="0.25">
      <c r="A22" t="s">
        <v>8</v>
      </c>
      <c r="B22">
        <v>18.98</v>
      </c>
      <c r="C22">
        <v>5</v>
      </c>
    </row>
    <row r="23" spans="1:3" x14ac:dyDescent="0.25">
      <c r="A23" t="s">
        <v>20</v>
      </c>
      <c r="B23">
        <v>458.32</v>
      </c>
      <c r="C23">
        <v>13</v>
      </c>
    </row>
    <row r="24" spans="1:3" x14ac:dyDescent="0.25">
      <c r="A24" t="s">
        <v>19</v>
      </c>
      <c r="B24">
        <v>35.619999999999997</v>
      </c>
      <c r="C24">
        <v>10</v>
      </c>
    </row>
    <row r="25" spans="1:3" x14ac:dyDescent="0.25">
      <c r="A25" t="s">
        <v>13</v>
      </c>
      <c r="B25">
        <v>18.98</v>
      </c>
      <c r="C25">
        <v>9</v>
      </c>
    </row>
    <row r="26" spans="1:3" x14ac:dyDescent="0.25">
      <c r="A26" t="s">
        <v>64</v>
      </c>
      <c r="B26">
        <v>202.47</v>
      </c>
      <c r="C26">
        <v>54</v>
      </c>
    </row>
    <row r="27" spans="1:3" x14ac:dyDescent="0.25">
      <c r="A27" t="s">
        <v>70</v>
      </c>
      <c r="B27">
        <v>26.85</v>
      </c>
      <c r="C27">
        <v>13</v>
      </c>
    </row>
    <row r="28" spans="1:3" x14ac:dyDescent="0.25">
      <c r="A28" t="s">
        <v>10</v>
      </c>
      <c r="B28">
        <v>30.98</v>
      </c>
      <c r="C28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3EAD-412C-42D6-A81B-8FF3AEF54D5F}">
  <dimension ref="A1:I35"/>
  <sheetViews>
    <sheetView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2" max="2" width="14.7109375" bestFit="1" customWidth="1"/>
    <col min="3" max="3" width="26.7109375" bestFit="1" customWidth="1"/>
    <col min="4" max="4" width="15.28515625" customWidth="1"/>
    <col min="5" max="5" width="22.85546875" bestFit="1" customWidth="1"/>
    <col min="6" max="6" width="9.28515625" bestFit="1" customWidth="1"/>
    <col min="7" max="7" width="10.85546875" bestFit="1" customWidth="1"/>
    <col min="8" max="8" width="19.85546875" bestFit="1" customWidth="1"/>
    <col min="9" max="9" width="20.42578125" customWidth="1"/>
  </cols>
  <sheetData>
    <row r="1" spans="1:9" x14ac:dyDescent="0.25">
      <c r="A1" s="3" t="s">
        <v>74</v>
      </c>
      <c r="B1" s="13" t="s">
        <v>83</v>
      </c>
      <c r="C1" s="13" t="s">
        <v>65</v>
      </c>
      <c r="D1" s="14" t="s">
        <v>72</v>
      </c>
      <c r="E1" s="13" t="s">
        <v>59</v>
      </c>
      <c r="F1" s="13" t="s">
        <v>79</v>
      </c>
      <c r="G1" s="13" t="s">
        <v>21</v>
      </c>
      <c r="H1" s="13" t="s">
        <v>66</v>
      </c>
      <c r="I1" s="13" t="s">
        <v>73</v>
      </c>
    </row>
    <row r="2" spans="1:9" x14ac:dyDescent="0.25">
      <c r="A2" s="4">
        <v>1</v>
      </c>
      <c r="B2" s="15">
        <v>42980</v>
      </c>
      <c r="C2" s="16" t="s">
        <v>18</v>
      </c>
      <c r="D2" s="17">
        <v>43.36</v>
      </c>
      <c r="E2" s="16" t="s">
        <v>53</v>
      </c>
      <c r="F2" s="16" t="s">
        <v>80</v>
      </c>
      <c r="G2" s="16">
        <v>7</v>
      </c>
      <c r="H2" s="16" t="s">
        <v>27</v>
      </c>
      <c r="I2" s="16" t="s">
        <v>23</v>
      </c>
    </row>
    <row r="3" spans="1:9" x14ac:dyDescent="0.25">
      <c r="A3" s="4">
        <v>2</v>
      </c>
      <c r="B3" s="15">
        <v>42535</v>
      </c>
      <c r="C3" s="16" t="s">
        <v>71</v>
      </c>
      <c r="D3" s="17">
        <v>45.36</v>
      </c>
      <c r="E3" s="16" t="s">
        <v>81</v>
      </c>
      <c r="F3" s="16" t="s">
        <v>82</v>
      </c>
      <c r="G3" s="16">
        <v>9</v>
      </c>
      <c r="H3" s="16" t="s">
        <v>28</v>
      </c>
      <c r="I3" s="16" t="s">
        <v>24</v>
      </c>
    </row>
    <row r="4" spans="1:9" x14ac:dyDescent="0.25">
      <c r="A4" s="4">
        <v>3</v>
      </c>
      <c r="B4" s="15">
        <v>43946</v>
      </c>
      <c r="C4" s="16" t="s">
        <v>61</v>
      </c>
      <c r="D4" s="17">
        <v>12.52</v>
      </c>
      <c r="E4" s="16" t="s">
        <v>29</v>
      </c>
      <c r="F4" s="16" t="s">
        <v>80</v>
      </c>
      <c r="G4" s="16">
        <v>5</v>
      </c>
      <c r="H4" s="16" t="s">
        <v>27</v>
      </c>
      <c r="I4" s="16" t="s">
        <v>24</v>
      </c>
    </row>
    <row r="5" spans="1:9" x14ac:dyDescent="0.25">
      <c r="A5" s="4">
        <v>4</v>
      </c>
      <c r="B5" s="15">
        <v>42200</v>
      </c>
      <c r="C5" s="16" t="s">
        <v>63</v>
      </c>
      <c r="D5" s="17">
        <v>25.87</v>
      </c>
      <c r="E5" s="16" t="s">
        <v>49</v>
      </c>
      <c r="F5" s="16" t="s">
        <v>82</v>
      </c>
      <c r="G5" s="16">
        <v>7</v>
      </c>
      <c r="H5" s="16" t="s">
        <v>26</v>
      </c>
      <c r="I5" s="16" t="s">
        <v>22</v>
      </c>
    </row>
    <row r="6" spans="1:9" x14ac:dyDescent="0.25">
      <c r="A6" s="4">
        <v>5</v>
      </c>
      <c r="B6" s="15">
        <v>43836</v>
      </c>
      <c r="C6" s="16" t="s">
        <v>11</v>
      </c>
      <c r="D6" s="17">
        <v>18.559999999999999</v>
      </c>
      <c r="E6" s="16" t="s">
        <v>38</v>
      </c>
      <c r="F6" s="16" t="s">
        <v>80</v>
      </c>
      <c r="G6" s="16">
        <v>5</v>
      </c>
      <c r="H6" s="16" t="s">
        <v>26</v>
      </c>
      <c r="I6" s="16" t="s">
        <v>77</v>
      </c>
    </row>
    <row r="7" spans="1:9" x14ac:dyDescent="0.25">
      <c r="A7" s="4">
        <v>6</v>
      </c>
      <c r="B7" s="15">
        <v>42081</v>
      </c>
      <c r="C7" s="16" t="s">
        <v>64</v>
      </c>
      <c r="D7" s="17">
        <v>202.47</v>
      </c>
      <c r="E7" s="16" t="s">
        <v>39</v>
      </c>
      <c r="F7" s="16" t="s">
        <v>80</v>
      </c>
      <c r="G7" s="16">
        <v>7</v>
      </c>
      <c r="H7" s="16" t="s">
        <v>26</v>
      </c>
      <c r="I7" s="16" t="s">
        <v>22</v>
      </c>
    </row>
    <row r="8" spans="1:9" x14ac:dyDescent="0.25">
      <c r="A8" s="4">
        <v>7</v>
      </c>
      <c r="B8" s="15">
        <v>43896</v>
      </c>
      <c r="C8" s="16" t="s">
        <v>3</v>
      </c>
      <c r="D8" s="17">
        <v>13.25</v>
      </c>
      <c r="E8" s="16" t="s">
        <v>36</v>
      </c>
      <c r="F8" s="16" t="s">
        <v>82</v>
      </c>
      <c r="G8" s="16">
        <v>5</v>
      </c>
      <c r="H8" s="16" t="s">
        <v>28</v>
      </c>
      <c r="I8" s="16" t="s">
        <v>77</v>
      </c>
    </row>
    <row r="9" spans="1:9" x14ac:dyDescent="0.25">
      <c r="A9" s="4">
        <v>8</v>
      </c>
      <c r="B9" s="15">
        <v>43141</v>
      </c>
      <c r="C9" s="16" t="s">
        <v>5</v>
      </c>
      <c r="D9" s="17">
        <v>18.96</v>
      </c>
      <c r="E9" s="16" t="s">
        <v>47</v>
      </c>
      <c r="F9" s="16" t="s">
        <v>80</v>
      </c>
      <c r="G9" s="16">
        <v>8</v>
      </c>
      <c r="H9" s="16" t="s">
        <v>26</v>
      </c>
      <c r="I9" s="16" t="s">
        <v>22</v>
      </c>
    </row>
    <row r="10" spans="1:9" x14ac:dyDescent="0.25">
      <c r="A10" s="4">
        <v>9</v>
      </c>
      <c r="B10" s="15">
        <v>43441</v>
      </c>
      <c r="C10" s="16" t="s">
        <v>7</v>
      </c>
      <c r="D10" s="17">
        <v>17.98</v>
      </c>
      <c r="E10" s="16" t="s">
        <v>42</v>
      </c>
      <c r="F10" s="16" t="s">
        <v>82</v>
      </c>
      <c r="G10" s="16">
        <v>14</v>
      </c>
      <c r="H10" s="16" t="s">
        <v>26</v>
      </c>
      <c r="I10" s="16" t="s">
        <v>77</v>
      </c>
    </row>
    <row r="11" spans="1:9" x14ac:dyDescent="0.25">
      <c r="A11" s="4">
        <v>10</v>
      </c>
      <c r="B11" s="15">
        <v>43901</v>
      </c>
      <c r="C11" s="16" t="s">
        <v>8</v>
      </c>
      <c r="D11" s="17">
        <v>18.98</v>
      </c>
      <c r="E11" s="16" t="s">
        <v>58</v>
      </c>
      <c r="F11" s="16" t="s">
        <v>80</v>
      </c>
      <c r="G11" s="16">
        <v>5</v>
      </c>
      <c r="H11" s="16" t="s">
        <v>28</v>
      </c>
      <c r="I11" s="16" t="s">
        <v>24</v>
      </c>
    </row>
    <row r="12" spans="1:9" x14ac:dyDescent="0.25">
      <c r="A12" s="4">
        <v>11</v>
      </c>
      <c r="B12" s="15">
        <v>43307</v>
      </c>
      <c r="C12" s="16" t="s">
        <v>15</v>
      </c>
      <c r="D12" s="17">
        <v>13.85</v>
      </c>
      <c r="E12" s="16" t="s">
        <v>41</v>
      </c>
      <c r="F12" s="16" t="s">
        <v>82</v>
      </c>
      <c r="G12" s="16">
        <v>14</v>
      </c>
      <c r="H12" s="16" t="s">
        <v>26</v>
      </c>
      <c r="I12" s="16" t="s">
        <v>22</v>
      </c>
    </row>
    <row r="13" spans="1:9" x14ac:dyDescent="0.25">
      <c r="A13" s="4">
        <v>12</v>
      </c>
      <c r="B13" s="15">
        <v>43392</v>
      </c>
      <c r="C13" s="16" t="s">
        <v>9</v>
      </c>
      <c r="D13" s="17">
        <v>25.98</v>
      </c>
      <c r="E13" s="16" t="s">
        <v>40</v>
      </c>
      <c r="F13" s="16" t="s">
        <v>80</v>
      </c>
      <c r="G13" s="16">
        <v>11</v>
      </c>
      <c r="H13" s="16" t="s">
        <v>27</v>
      </c>
      <c r="I13" s="16" t="s">
        <v>23</v>
      </c>
    </row>
    <row r="14" spans="1:9" x14ac:dyDescent="0.25">
      <c r="A14" s="4">
        <v>13</v>
      </c>
      <c r="B14" s="15">
        <v>43686</v>
      </c>
      <c r="C14" s="16" t="s">
        <v>13</v>
      </c>
      <c r="D14" s="17">
        <v>18.98</v>
      </c>
      <c r="E14" s="16" t="s">
        <v>47</v>
      </c>
      <c r="F14" s="16" t="s">
        <v>80</v>
      </c>
      <c r="G14" s="16">
        <v>9</v>
      </c>
      <c r="H14" s="16" t="s">
        <v>26</v>
      </c>
      <c r="I14" s="16" t="s">
        <v>77</v>
      </c>
    </row>
    <row r="15" spans="1:9" x14ac:dyDescent="0.25">
      <c r="A15" s="4">
        <v>14</v>
      </c>
      <c r="B15" s="15">
        <v>43147</v>
      </c>
      <c r="C15" s="16" t="s">
        <v>12</v>
      </c>
      <c r="D15" s="17">
        <v>18.559999999999999</v>
      </c>
      <c r="E15" s="16" t="s">
        <v>46</v>
      </c>
      <c r="F15" s="16" t="s">
        <v>80</v>
      </c>
      <c r="G15" s="16">
        <v>15</v>
      </c>
      <c r="H15" s="16" t="s">
        <v>26</v>
      </c>
      <c r="I15" s="16" t="s">
        <v>22</v>
      </c>
    </row>
    <row r="16" spans="1:9" x14ac:dyDescent="0.25">
      <c r="A16" s="4">
        <v>15</v>
      </c>
      <c r="B16" s="15">
        <v>44114</v>
      </c>
      <c r="C16" s="16" t="s">
        <v>6</v>
      </c>
      <c r="D16" s="17">
        <v>13.36</v>
      </c>
      <c r="E16" s="16" t="s">
        <v>32</v>
      </c>
      <c r="F16" s="16" t="s">
        <v>82</v>
      </c>
      <c r="G16" s="16">
        <v>5</v>
      </c>
      <c r="H16" s="16" t="s">
        <v>27</v>
      </c>
      <c r="I16" s="16" t="s">
        <v>77</v>
      </c>
    </row>
    <row r="17" spans="1:9" x14ac:dyDescent="0.25">
      <c r="A17" s="4">
        <v>16</v>
      </c>
      <c r="B17" s="15">
        <v>44104</v>
      </c>
      <c r="C17" s="16" t="s">
        <v>4</v>
      </c>
      <c r="D17" s="17">
        <v>29.98</v>
      </c>
      <c r="E17" s="16" t="s">
        <v>32</v>
      </c>
      <c r="F17" s="16" t="s">
        <v>82</v>
      </c>
      <c r="G17" s="16">
        <v>5</v>
      </c>
      <c r="H17" s="16" t="s">
        <v>27</v>
      </c>
      <c r="I17" s="16" t="s">
        <v>23</v>
      </c>
    </row>
    <row r="18" spans="1:9" x14ac:dyDescent="0.25">
      <c r="A18" s="4">
        <v>17</v>
      </c>
      <c r="B18" s="15">
        <v>42257</v>
      </c>
      <c r="C18" s="16" t="s">
        <v>64</v>
      </c>
      <c r="D18" s="17">
        <v>202.47</v>
      </c>
      <c r="E18" s="16" t="s">
        <v>52</v>
      </c>
      <c r="F18" s="16" t="s">
        <v>82</v>
      </c>
      <c r="G18" s="16">
        <v>11</v>
      </c>
      <c r="H18" s="16" t="s">
        <v>26</v>
      </c>
      <c r="I18" s="16" t="s">
        <v>22</v>
      </c>
    </row>
    <row r="19" spans="1:9" x14ac:dyDescent="0.25">
      <c r="A19" s="4">
        <v>18</v>
      </c>
      <c r="B19" s="15">
        <v>42427</v>
      </c>
      <c r="C19" s="16" t="s">
        <v>19</v>
      </c>
      <c r="D19" s="17">
        <v>35.619999999999997</v>
      </c>
      <c r="E19" s="16" t="s">
        <v>57</v>
      </c>
      <c r="F19" s="16" t="s">
        <v>82</v>
      </c>
      <c r="G19" s="16">
        <v>10</v>
      </c>
      <c r="H19" s="16" t="s">
        <v>28</v>
      </c>
      <c r="I19" s="16" t="s">
        <v>77</v>
      </c>
    </row>
    <row r="20" spans="1:9" x14ac:dyDescent="0.25">
      <c r="A20" s="4">
        <v>19</v>
      </c>
      <c r="B20" s="15">
        <v>42536</v>
      </c>
      <c r="C20" s="16" t="s">
        <v>25</v>
      </c>
      <c r="D20" s="17">
        <v>33.99</v>
      </c>
      <c r="E20" s="16" t="s">
        <v>35</v>
      </c>
      <c r="F20" s="16" t="s">
        <v>82</v>
      </c>
      <c r="G20" s="16">
        <v>9</v>
      </c>
      <c r="H20" s="16" t="s">
        <v>26</v>
      </c>
      <c r="I20" s="16" t="s">
        <v>22</v>
      </c>
    </row>
    <row r="21" spans="1:9" x14ac:dyDescent="0.25">
      <c r="A21" s="4">
        <v>20</v>
      </c>
      <c r="B21" s="15">
        <v>42389</v>
      </c>
      <c r="C21" s="16" t="s">
        <v>2</v>
      </c>
      <c r="D21" s="17">
        <v>17.2</v>
      </c>
      <c r="E21" s="16" t="s">
        <v>48</v>
      </c>
      <c r="F21" s="16" t="s">
        <v>82</v>
      </c>
      <c r="G21" s="16">
        <v>15</v>
      </c>
      <c r="H21" s="16" t="s">
        <v>26</v>
      </c>
      <c r="I21" s="16" t="s">
        <v>22</v>
      </c>
    </row>
    <row r="22" spans="1:9" x14ac:dyDescent="0.25">
      <c r="A22" s="4">
        <v>21</v>
      </c>
      <c r="B22" s="15">
        <v>43195</v>
      </c>
      <c r="C22" s="16" t="s">
        <v>60</v>
      </c>
      <c r="D22" s="17">
        <v>28.9</v>
      </c>
      <c r="E22" s="16" t="s">
        <v>34</v>
      </c>
      <c r="F22" s="16" t="s">
        <v>82</v>
      </c>
      <c r="G22" s="16">
        <v>14</v>
      </c>
      <c r="H22" s="16" t="s">
        <v>26</v>
      </c>
      <c r="I22" s="16" t="s">
        <v>77</v>
      </c>
    </row>
    <row r="23" spans="1:9" x14ac:dyDescent="0.25">
      <c r="A23" s="4">
        <v>22</v>
      </c>
      <c r="B23" s="15">
        <v>43174</v>
      </c>
      <c r="C23" s="16" t="s">
        <v>18</v>
      </c>
      <c r="D23" s="17">
        <v>43.36</v>
      </c>
      <c r="E23" s="16" t="s">
        <v>50</v>
      </c>
      <c r="F23" s="16" t="s">
        <v>82</v>
      </c>
      <c r="G23" s="16">
        <v>8</v>
      </c>
      <c r="H23" s="16" t="s">
        <v>26</v>
      </c>
      <c r="I23" s="16" t="s">
        <v>22</v>
      </c>
    </row>
    <row r="24" spans="1:9" x14ac:dyDescent="0.25">
      <c r="A24" s="4">
        <v>23</v>
      </c>
      <c r="B24" s="15">
        <v>42189</v>
      </c>
      <c r="C24" s="16" t="s">
        <v>64</v>
      </c>
      <c r="D24" s="17">
        <v>202.47</v>
      </c>
      <c r="E24" s="16" t="s">
        <v>0</v>
      </c>
      <c r="F24" s="16" t="s">
        <v>82</v>
      </c>
      <c r="G24" s="16">
        <v>11</v>
      </c>
      <c r="H24" s="16" t="s">
        <v>28</v>
      </c>
      <c r="I24" s="16" t="s">
        <v>24</v>
      </c>
    </row>
    <row r="25" spans="1:9" x14ac:dyDescent="0.25">
      <c r="A25" s="4">
        <v>24</v>
      </c>
      <c r="B25" s="15">
        <v>42491</v>
      </c>
      <c r="C25" s="16" t="s">
        <v>7</v>
      </c>
      <c r="D25" s="17">
        <v>17.98</v>
      </c>
      <c r="E25" s="16" t="s">
        <v>55</v>
      </c>
      <c r="F25" s="16" t="s">
        <v>82</v>
      </c>
      <c r="G25" s="16">
        <v>11</v>
      </c>
      <c r="H25" s="16" t="s">
        <v>27</v>
      </c>
      <c r="I25" s="16" t="s">
        <v>23</v>
      </c>
    </row>
    <row r="26" spans="1:9" x14ac:dyDescent="0.25">
      <c r="A26" s="4">
        <v>25</v>
      </c>
      <c r="B26" s="15">
        <v>42854</v>
      </c>
      <c r="C26" s="16" t="s">
        <v>14</v>
      </c>
      <c r="D26" s="17">
        <v>13.65</v>
      </c>
      <c r="E26" s="16" t="s">
        <v>45</v>
      </c>
      <c r="F26" s="16" t="s">
        <v>82</v>
      </c>
      <c r="G26" s="16">
        <v>11</v>
      </c>
      <c r="H26" s="16" t="s">
        <v>26</v>
      </c>
      <c r="I26" s="16" t="s">
        <v>22</v>
      </c>
    </row>
    <row r="27" spans="1:9" x14ac:dyDescent="0.25">
      <c r="A27" s="4">
        <v>26</v>
      </c>
      <c r="B27" s="15">
        <v>43107</v>
      </c>
      <c r="C27" s="16" t="s">
        <v>20</v>
      </c>
      <c r="D27" s="17">
        <v>458.32</v>
      </c>
      <c r="E27" s="16" t="s">
        <v>51</v>
      </c>
      <c r="F27" s="16" t="s">
        <v>82</v>
      </c>
      <c r="G27" s="16">
        <v>13</v>
      </c>
      <c r="H27" s="16" t="s">
        <v>27</v>
      </c>
      <c r="I27" s="16" t="s">
        <v>77</v>
      </c>
    </row>
    <row r="28" spans="1:9" x14ac:dyDescent="0.25">
      <c r="A28" s="4">
        <v>27</v>
      </c>
      <c r="B28" s="15">
        <v>42145</v>
      </c>
      <c r="C28" s="16" t="s">
        <v>64</v>
      </c>
      <c r="D28" s="17">
        <v>202.47</v>
      </c>
      <c r="E28" s="16" t="s">
        <v>43</v>
      </c>
      <c r="F28" s="16" t="s">
        <v>80</v>
      </c>
      <c r="G28" s="16">
        <v>11</v>
      </c>
      <c r="H28" s="16" t="s">
        <v>26</v>
      </c>
      <c r="I28" s="16" t="s">
        <v>22</v>
      </c>
    </row>
    <row r="29" spans="1:9" x14ac:dyDescent="0.25">
      <c r="A29" s="4">
        <v>28</v>
      </c>
      <c r="B29" s="15">
        <v>43907</v>
      </c>
      <c r="C29" s="16" t="s">
        <v>16</v>
      </c>
      <c r="D29" s="17">
        <v>13.89</v>
      </c>
      <c r="E29" s="16" t="s">
        <v>37</v>
      </c>
      <c r="F29" s="16" t="s">
        <v>82</v>
      </c>
      <c r="G29" s="16">
        <v>5</v>
      </c>
      <c r="H29" s="16" t="s">
        <v>26</v>
      </c>
      <c r="I29" s="16" t="s">
        <v>22</v>
      </c>
    </row>
    <row r="30" spans="1:9" x14ac:dyDescent="0.25">
      <c r="A30" s="4">
        <v>29</v>
      </c>
      <c r="B30" s="15">
        <v>42246</v>
      </c>
      <c r="C30" s="16" t="s">
        <v>64</v>
      </c>
      <c r="D30" s="17">
        <v>202.47</v>
      </c>
      <c r="E30" s="16" t="s">
        <v>31</v>
      </c>
      <c r="F30" s="16" t="s">
        <v>82</v>
      </c>
      <c r="G30" s="16">
        <v>14</v>
      </c>
      <c r="H30" s="16" t="s">
        <v>28</v>
      </c>
      <c r="I30" s="16" t="s">
        <v>77</v>
      </c>
    </row>
    <row r="31" spans="1:9" x14ac:dyDescent="0.25">
      <c r="A31" s="4">
        <v>30</v>
      </c>
      <c r="B31" s="15">
        <v>43608</v>
      </c>
      <c r="C31" s="16" t="s">
        <v>10</v>
      </c>
      <c r="D31" s="17">
        <v>30.98</v>
      </c>
      <c r="E31" s="16" t="s">
        <v>56</v>
      </c>
      <c r="F31" s="16" t="s">
        <v>80</v>
      </c>
      <c r="G31" s="16">
        <v>14</v>
      </c>
      <c r="H31" s="16" t="s">
        <v>26</v>
      </c>
      <c r="I31" s="16" t="s">
        <v>77</v>
      </c>
    </row>
    <row r="32" spans="1:9" x14ac:dyDescent="0.25">
      <c r="A32" s="4">
        <v>31</v>
      </c>
      <c r="B32" s="15">
        <v>43172</v>
      </c>
      <c r="C32" s="16" t="s">
        <v>17</v>
      </c>
      <c r="D32" s="17">
        <v>16.95</v>
      </c>
      <c r="E32" s="16" t="s">
        <v>54</v>
      </c>
      <c r="F32" s="16" t="s">
        <v>82</v>
      </c>
      <c r="G32" s="16">
        <v>11</v>
      </c>
      <c r="H32" s="16" t="s">
        <v>27</v>
      </c>
      <c r="I32" s="16" t="s">
        <v>23</v>
      </c>
    </row>
    <row r="33" spans="1:9" x14ac:dyDescent="0.25">
      <c r="A33" s="4">
        <v>32</v>
      </c>
      <c r="B33" s="15">
        <v>43649</v>
      </c>
      <c r="C33" s="16" t="s">
        <v>70</v>
      </c>
      <c r="D33" s="17">
        <v>26.85</v>
      </c>
      <c r="E33" s="16" t="s">
        <v>33</v>
      </c>
      <c r="F33" s="16" t="s">
        <v>82</v>
      </c>
      <c r="G33" s="16">
        <v>13</v>
      </c>
      <c r="H33" s="16" t="s">
        <v>28</v>
      </c>
      <c r="I33" s="16" t="s">
        <v>24</v>
      </c>
    </row>
    <row r="34" spans="1:9" x14ac:dyDescent="0.25">
      <c r="A34" s="4">
        <v>33</v>
      </c>
      <c r="B34" s="15">
        <v>42435</v>
      </c>
      <c r="C34" s="16" t="s">
        <v>17</v>
      </c>
      <c r="D34" s="17">
        <v>16.95</v>
      </c>
      <c r="E34" s="16" t="s">
        <v>30</v>
      </c>
      <c r="F34" s="16" t="s">
        <v>82</v>
      </c>
      <c r="G34" s="16">
        <v>9</v>
      </c>
      <c r="H34" s="16" t="s">
        <v>26</v>
      </c>
      <c r="I34" s="16" t="s">
        <v>22</v>
      </c>
    </row>
    <row r="35" spans="1:9" x14ac:dyDescent="0.25">
      <c r="A35" s="5">
        <v>34</v>
      </c>
      <c r="B35" s="18">
        <v>43273</v>
      </c>
      <c r="C35" s="19" t="s">
        <v>62</v>
      </c>
      <c r="D35" s="20">
        <v>65</v>
      </c>
      <c r="E35" s="19" t="s">
        <v>44</v>
      </c>
      <c r="F35" s="19" t="s">
        <v>80</v>
      </c>
      <c r="G35" s="19">
        <v>15</v>
      </c>
      <c r="H35" s="19" t="s">
        <v>28</v>
      </c>
      <c r="I35" s="19" t="s">
        <v>24</v>
      </c>
    </row>
  </sheetData>
  <autoFilter ref="A1:I35" xr:uid="{C3863EAD-412C-42D6-A81B-8FF3AEF54D5F}"/>
  <dataValidations count="1">
    <dataValidation type="list" allowBlank="1" showInputMessage="1" showErrorMessage="1" sqref="F2:F35" xr:uid="{B3EC24A4-AC1A-4CD8-8B1F-0C9A19E52D40}">
      <formula1>"Feminino,Masculino,Outros"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284B-E125-4EA7-B323-858B33C92270}">
  <dimension ref="A1:C6"/>
  <sheetViews>
    <sheetView workbookViewId="0">
      <selection activeCell="I16" sqref="I16"/>
    </sheetView>
  </sheetViews>
  <sheetFormatPr defaultRowHeight="15" x14ac:dyDescent="0.25"/>
  <cols>
    <col min="1" max="1" width="21.7109375" bestFit="1" customWidth="1"/>
    <col min="2" max="2" width="21.7109375" customWidth="1"/>
    <col min="3" max="3" width="17.85546875" customWidth="1"/>
  </cols>
  <sheetData>
    <row r="1" spans="1:3" x14ac:dyDescent="0.25">
      <c r="A1" s="1" t="s">
        <v>1</v>
      </c>
      <c r="B1" s="1"/>
      <c r="C1" s="1" t="s">
        <v>88</v>
      </c>
    </row>
    <row r="2" spans="1:3" x14ac:dyDescent="0.25">
      <c r="A2" s="1" t="s">
        <v>1</v>
      </c>
      <c r="B2" s="1" t="s">
        <v>89</v>
      </c>
      <c r="C2" s="1" t="s">
        <v>23</v>
      </c>
    </row>
    <row r="3" spans="1:3" x14ac:dyDescent="0.25">
      <c r="A3" s="1" t="s">
        <v>1</v>
      </c>
      <c r="B3" s="1" t="s">
        <v>90</v>
      </c>
      <c r="C3" s="1" t="s">
        <v>24</v>
      </c>
    </row>
    <row r="4" spans="1:3" x14ac:dyDescent="0.25">
      <c r="A4" s="1" t="s">
        <v>1</v>
      </c>
      <c r="B4" s="1" t="s">
        <v>91</v>
      </c>
      <c r="C4" s="1" t="s">
        <v>22</v>
      </c>
    </row>
    <row r="5" spans="1:3" x14ac:dyDescent="0.25">
      <c r="A5" s="1" t="s">
        <v>1</v>
      </c>
      <c r="B5" s="1" t="s">
        <v>92</v>
      </c>
      <c r="C5" s="1" t="s">
        <v>75</v>
      </c>
    </row>
    <row r="6" spans="1:3" x14ac:dyDescent="0.25">
      <c r="A6" s="1" t="s">
        <v>1</v>
      </c>
      <c r="B6" s="1" t="s">
        <v>93</v>
      </c>
      <c r="C6" s="1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DD56-C9C3-4138-AEEC-5247B0334F0B}">
  <dimension ref="A1:B6"/>
  <sheetViews>
    <sheetView workbookViewId="0">
      <selection activeCell="C26" sqref="C26"/>
    </sheetView>
  </sheetViews>
  <sheetFormatPr defaultRowHeight="15" x14ac:dyDescent="0.25"/>
  <cols>
    <col min="1" max="1" width="15.42578125" bestFit="1" customWidth="1"/>
  </cols>
  <sheetData>
    <row r="1" spans="1:2" x14ac:dyDescent="0.25">
      <c r="A1" s="1" t="s">
        <v>73</v>
      </c>
      <c r="B1" s="1" t="s">
        <v>1</v>
      </c>
    </row>
    <row r="2" spans="1:2" x14ac:dyDescent="0.25">
      <c r="A2" s="1" t="s">
        <v>23</v>
      </c>
      <c r="B2" s="1" t="s">
        <v>68</v>
      </c>
    </row>
    <row r="3" spans="1:2" x14ac:dyDescent="0.25">
      <c r="A3" s="1" t="s">
        <v>24</v>
      </c>
      <c r="B3" s="1" t="s">
        <v>67</v>
      </c>
    </row>
    <row r="4" spans="1:2" x14ac:dyDescent="0.25">
      <c r="A4" s="1" t="s">
        <v>22</v>
      </c>
      <c r="B4" s="1" t="s">
        <v>69</v>
      </c>
    </row>
    <row r="5" spans="1:2" x14ac:dyDescent="0.25">
      <c r="A5" s="1" t="s">
        <v>75</v>
      </c>
      <c r="B5" s="1" t="s">
        <v>76</v>
      </c>
    </row>
    <row r="6" spans="1:2" x14ac:dyDescent="0.25">
      <c r="A6" s="1" t="s">
        <v>77</v>
      </c>
      <c r="B6" s="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de Dados</vt:lpstr>
      <vt:lpstr>Formatação</vt:lpstr>
      <vt:lpstr>Controle de Estoque</vt:lpstr>
      <vt:lpstr>Controle de EstoqueDELET</vt:lpstr>
      <vt:lpstr>Base de Dados2</vt:lpstr>
      <vt:lpstr>Gerentes</vt:lpstr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Santos da Silva</dc:creator>
  <cp:lastModifiedBy>VICTOR AMATO DOS SANTOS FILHO</cp:lastModifiedBy>
  <dcterms:created xsi:type="dcterms:W3CDTF">2021-05-17T12:07:34Z</dcterms:created>
  <dcterms:modified xsi:type="dcterms:W3CDTF">2025-11-17T16:36:21Z</dcterms:modified>
</cp:coreProperties>
</file>