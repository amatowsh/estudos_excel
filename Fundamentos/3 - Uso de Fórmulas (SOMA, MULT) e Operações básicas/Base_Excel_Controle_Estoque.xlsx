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am\Desktop\Analista de Dados\Excel\estudos_excel\Fundamentos\3 - Uso de Fórmulas (SOMA, MULT) e Operações básicas\"/>
    </mc:Choice>
  </mc:AlternateContent>
  <xr:revisionPtr revIDLastSave="0" documentId="13_ncr:1_{36938897-A852-416A-9311-8EC10CB05CC4}" xr6:coauthVersionLast="47" xr6:coauthVersionMax="47" xr10:uidLastSave="{00000000-0000-0000-0000-000000000000}"/>
  <bookViews>
    <workbookView xWindow="-120" yWindow="-120" windowWidth="29040" windowHeight="15720" xr2:uid="{FB7C3294-CC03-4C7E-9476-6DF2371EBE75}"/>
  </bookViews>
  <sheets>
    <sheet name="Base de dados" sheetId="1" r:id="rId1"/>
    <sheet name="Controle de Estoque" sheetId="2" r:id="rId2"/>
  </sheets>
  <definedNames>
    <definedName name="_xlnm._FilterDatabase" localSheetId="1" hidden="1">'Controle de Estoque'!$A$1:$F$28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2" l="1"/>
  <c r="I9" i="2"/>
  <c r="F13" i="2"/>
  <c r="F28" i="2"/>
  <c r="F9" i="2"/>
  <c r="F15" i="2"/>
  <c r="F24" i="2"/>
  <c r="F20" i="2"/>
  <c r="F16" i="2"/>
  <c r="F12" i="2"/>
  <c r="F25" i="2"/>
  <c r="F17" i="2"/>
  <c r="F21" i="2"/>
  <c r="F14" i="2"/>
  <c r="F6" i="2"/>
  <c r="F22" i="2"/>
  <c r="F27" i="2"/>
  <c r="F5" i="2"/>
  <c r="F8" i="2"/>
  <c r="F18" i="2"/>
  <c r="F4" i="2"/>
  <c r="F23" i="2"/>
  <c r="F3" i="2"/>
  <c r="F10" i="2"/>
  <c r="F19" i="2"/>
  <c r="F2" i="2"/>
  <c r="F30" i="2" s="1"/>
  <c r="F11" i="2"/>
  <c r="F7" i="2"/>
  <c r="F26" i="2"/>
  <c r="I7" i="2"/>
  <c r="I8" i="2"/>
  <c r="E13" i="2"/>
  <c r="E28" i="2"/>
  <c r="E9" i="2"/>
  <c r="E15" i="2"/>
  <c r="E24" i="2"/>
  <c r="E20" i="2"/>
  <c r="E16" i="2"/>
  <c r="E12" i="2"/>
  <c r="E25" i="2"/>
  <c r="E17" i="2"/>
  <c r="E21" i="2"/>
  <c r="E14" i="2"/>
  <c r="E6" i="2"/>
  <c r="E22" i="2"/>
  <c r="E27" i="2"/>
  <c r="E5" i="2"/>
  <c r="E8" i="2"/>
  <c r="E18" i="2"/>
  <c r="E4" i="2"/>
  <c r="E23" i="2"/>
  <c r="E3" i="2"/>
  <c r="E10" i="2"/>
  <c r="E19" i="2"/>
  <c r="E2" i="2"/>
  <c r="E11" i="2"/>
  <c r="E7" i="2"/>
  <c r="E26" i="2"/>
</calcChain>
</file>

<file path=xl/sharedStrings.xml><?xml version="1.0" encoding="utf-8"?>
<sst xmlns="http://schemas.openxmlformats.org/spreadsheetml/2006/main" count="217" uniqueCount="86">
  <si>
    <t>ID</t>
  </si>
  <si>
    <t>Produto</t>
  </si>
  <si>
    <t>Preço</t>
  </si>
  <si>
    <t>Vendedor</t>
  </si>
  <si>
    <t>Sexo</t>
  </si>
  <si>
    <t>Quantidade</t>
  </si>
  <si>
    <t>Forma de Pagamento</t>
  </si>
  <si>
    <t>Loja</t>
  </si>
  <si>
    <t>Lancheira Básica</t>
  </si>
  <si>
    <t>Ana Beatriz Trindade</t>
  </si>
  <si>
    <t>Feminino</t>
  </si>
  <si>
    <t>Cartão de Crédito</t>
  </si>
  <si>
    <t>Santa Catarina</t>
  </si>
  <si>
    <t>Lancheira Premium Completa</t>
  </si>
  <si>
    <t>Israel Becker</t>
  </si>
  <si>
    <t>Masculino</t>
  </si>
  <si>
    <t>Transferência Bancária</t>
  </si>
  <si>
    <t>São Paulo</t>
  </si>
  <si>
    <t>Caderno Pautado 150 Fl Pq</t>
  </si>
  <si>
    <t>Cecília Tavares</t>
  </si>
  <si>
    <t>Mouse Básico</t>
  </si>
  <si>
    <t>Yuri Xavier</t>
  </si>
  <si>
    <t>Boleto</t>
  </si>
  <si>
    <t>Rio de Janeiro</t>
  </si>
  <si>
    <t>Camisa Branca P</t>
  </si>
  <si>
    <t>Pietra Lopes</t>
  </si>
  <si>
    <t>Rio Grande do Sul</t>
  </si>
  <si>
    <t>Teclado Wireless</t>
  </si>
  <si>
    <t>Fernanda Neves</t>
  </si>
  <si>
    <t>Giz de cera Pequeno 12 Cores</t>
  </si>
  <si>
    <t>André Lopes</t>
  </si>
  <si>
    <t>Caneta 4 Cores P5</t>
  </si>
  <si>
    <t>Vitória Siqueira</t>
  </si>
  <si>
    <t>Fichário</t>
  </si>
  <si>
    <t>Daniel Nascimento</t>
  </si>
  <si>
    <t>Pistola de cola quente</t>
  </si>
  <si>
    <t>Maria Fernanda Carvalho</t>
  </si>
  <si>
    <t>Esquadro Color</t>
  </si>
  <si>
    <t>Pietro Nascimento</t>
  </si>
  <si>
    <t>Estojo Modelo Pano</t>
  </si>
  <si>
    <t>Ana Laura Noronha</t>
  </si>
  <si>
    <t>Short Preto G</t>
  </si>
  <si>
    <t>Camisa Branca M</t>
  </si>
  <si>
    <t>Luna Nascimento Sampaio</t>
  </si>
  <si>
    <t>Avental</t>
  </si>
  <si>
    <t>Pedro Lucas Frota</t>
  </si>
  <si>
    <t>Giz de cera Grande 24 Cores</t>
  </si>
  <si>
    <t>Davi Uchoa</t>
  </si>
  <si>
    <t>Resma Papel A4</t>
  </si>
  <si>
    <t>Davi Miguel Neves</t>
  </si>
  <si>
    <t>Borracha Branca Protector P20</t>
  </si>
  <si>
    <t>Thomas Junqueira</t>
  </si>
  <si>
    <t>Caneta Azul P10</t>
  </si>
  <si>
    <t>Maria Isis Trindade</t>
  </si>
  <si>
    <t>Caderno Pautado 300 Fl</t>
  </si>
  <si>
    <t>Yago Frota</t>
  </si>
  <si>
    <t>Gael Xavier</t>
  </si>
  <si>
    <t>Carlos Eduardo</t>
  </si>
  <si>
    <t>Arthur Henrique Pires</t>
  </si>
  <si>
    <t>Esquadro Transparente</t>
  </si>
  <si>
    <t>Lorenzo Rangel</t>
  </si>
  <si>
    <t>Projetor 720</t>
  </si>
  <si>
    <t>Guilherme Valença</t>
  </si>
  <si>
    <t>Letícia Peçanha</t>
  </si>
  <si>
    <t>Cola Bastão</t>
  </si>
  <si>
    <t>Pietro Lopes</t>
  </si>
  <si>
    <t>Lucas Barros</t>
  </si>
  <si>
    <t>Tinta Aquarela Azul</t>
  </si>
  <si>
    <t>Catarina Penteado</t>
  </si>
  <si>
    <t>Cola 500 ml</t>
  </si>
  <si>
    <t>Arthur Miguel dos Santos</t>
  </si>
  <si>
    <t>Tesoura Premium</t>
  </si>
  <si>
    <t>Erick Frota</t>
  </si>
  <si>
    <t>Arthur Pereira</t>
  </si>
  <si>
    <t>PenDrive 128 Gb</t>
  </si>
  <si>
    <t>Emilly Pimenta</t>
  </si>
  <si>
    <t>Data da Venda</t>
  </si>
  <si>
    <t>Entradas</t>
  </si>
  <si>
    <t>Saídas</t>
  </si>
  <si>
    <t>SOMA</t>
  </si>
  <si>
    <t>SUBTRAÇÃO</t>
  </si>
  <si>
    <t>MULT</t>
  </si>
  <si>
    <t>DIVISÃO</t>
  </si>
  <si>
    <t>Estoque Final</t>
  </si>
  <si>
    <t>Faturamento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</si>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</sst>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  <xf numFmtId="164" fontId="0" fillId="0" borderId="0" xfId="0" applyNumberFormat="1" applyAlignment="1">
      <alignment horizontal="left"/>
    </xf>
    <xf numFmtId="0" fontId="0" fillId="2" borderId="0" xfId="0" applyFill="1"/>
    <xf numFmtId="164" fontId="0" fillId="2" borderId="0" xfId="0" applyNumberFormat="1" applyFill="1" applyAlignment="1">
      <alignment horizontal="left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0B0FFC-9025-48FE-ABE8-87E30D0BA298}" name="Tabela5" displayName="Tabela5" ref="A1:I35" totalsRowShown="0" headerRowDxfId="3">
  <autoFilter ref="A1:I35" xr:uid="{F90B0FFC-9025-48FE-ABE8-87E30D0BA298}"/>
  <tableColumns count="9">
    <tableColumn id="1" xr3:uid="{CCF52806-72EC-483D-8140-7B87EA6937EF}" name="ID"/>
    <tableColumn id="10" xr3:uid="{6F1BB1EA-89A4-4A45-996F-E592BA87D534}" name="Data da Venda" dataDxfId="2"/>
    <tableColumn id="9" xr3:uid="{9444627E-04D7-4897-843D-C004DFD3A9D2}" name="Produto"/>
    <tableColumn id="4" xr3:uid="{C186404D-E710-46BB-95F7-E6C8BE908466}" name="Preço" dataDxfId="1"/>
    <tableColumn id="5" xr3:uid="{6557273C-596A-4031-AD1C-8E24835C3D8E}" name="Vendedor"/>
    <tableColumn id="3" xr3:uid="{B671A5C7-8E01-4643-AC81-D069035DCC7A}" name="Sexo"/>
    <tableColumn id="6" xr3:uid="{63AC8956-E64C-4C90-9AF5-5EDBD0075295}" name="Quantidade" dataDxfId="0"/>
    <tableColumn id="7" xr3:uid="{C2E32146-1692-47CB-B797-689D84EEB5E6}" name="Forma de Pagamento"/>
    <tableColumn id="8" xr3:uid="{64351817-9EB3-4FDD-BBCC-78B1C1C1C79D}" name="Loj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BF438-5BA8-4C36-9A9A-C56737201ABC}">
  <dimension ref="A1:I35"/>
  <sheetViews>
    <sheetView tabSelected="1" workbookViewId="0"/>
  </sheetViews>
  <sheetFormatPr defaultRowHeight="15" x14ac:dyDescent="0.25"/>
  <cols>
    <col min="2" max="2" width="18.42578125" style="4" bestFit="1" customWidth="1"/>
    <col min="3" max="3" width="27.85546875" bestFit="1" customWidth="1"/>
    <col min="4" max="4" width="12" style="5" customWidth="1"/>
    <col min="5" max="5" width="24.5703125" bestFit="1" customWidth="1"/>
    <col min="6" max="6" width="10" bestFit="1" customWidth="1"/>
    <col min="7" max="7" width="16" style="1" bestFit="1" customWidth="1"/>
    <col min="8" max="8" width="24.5703125" bestFit="1" customWidth="1"/>
    <col min="9" max="9" width="18.7109375" customWidth="1"/>
    <col min="10" max="10" width="14.28515625" customWidth="1"/>
  </cols>
  <sheetData>
    <row r="1" spans="1:9" x14ac:dyDescent="0.25">
      <c r="A1" s="1" t="s">
        <v>0</v>
      </c>
      <c r="B1" s="2" t="s">
        <v>76</v>
      </c>
      <c r="C1" s="1" t="s">
        <v>1</v>
      </c>
      <c r="D1" s="5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3">
        <v>1</v>
      </c>
      <c r="B2" s="4">
        <v>42980</v>
      </c>
      <c r="C2" t="s">
        <v>8</v>
      </c>
      <c r="D2" s="5">
        <v>43.36</v>
      </c>
      <c r="E2" t="s">
        <v>9</v>
      </c>
      <c r="F2" t="s">
        <v>10</v>
      </c>
      <c r="G2" s="1">
        <v>7</v>
      </c>
      <c r="H2" t="s">
        <v>11</v>
      </c>
      <c r="I2" t="s">
        <v>12</v>
      </c>
    </row>
    <row r="3" spans="1:9" x14ac:dyDescent="0.25">
      <c r="A3">
        <v>2</v>
      </c>
      <c r="B3" s="4">
        <v>42535</v>
      </c>
      <c r="C3" t="s">
        <v>13</v>
      </c>
      <c r="D3" s="5">
        <v>45.36</v>
      </c>
      <c r="E3" t="s">
        <v>14</v>
      </c>
      <c r="F3" t="s">
        <v>15</v>
      </c>
      <c r="G3" s="1">
        <v>9</v>
      </c>
      <c r="H3" t="s">
        <v>16</v>
      </c>
      <c r="I3" t="s">
        <v>17</v>
      </c>
    </row>
    <row r="4" spans="1:9" x14ac:dyDescent="0.25">
      <c r="A4">
        <v>3</v>
      </c>
      <c r="B4" s="4">
        <v>43946</v>
      </c>
      <c r="C4" t="s">
        <v>18</v>
      </c>
      <c r="D4" s="5">
        <v>12.52</v>
      </c>
      <c r="E4" t="s">
        <v>19</v>
      </c>
      <c r="F4" t="s">
        <v>10</v>
      </c>
      <c r="G4" s="1">
        <v>5</v>
      </c>
      <c r="H4" t="s">
        <v>11</v>
      </c>
      <c r="I4" t="s">
        <v>17</v>
      </c>
    </row>
    <row r="5" spans="1:9" x14ac:dyDescent="0.25">
      <c r="A5">
        <v>4</v>
      </c>
      <c r="B5" s="4">
        <v>42200</v>
      </c>
      <c r="C5" t="s">
        <v>20</v>
      </c>
      <c r="D5" s="5">
        <v>25.87</v>
      </c>
      <c r="E5" t="s">
        <v>21</v>
      </c>
      <c r="F5" t="s">
        <v>15</v>
      </c>
      <c r="G5" s="1">
        <v>7</v>
      </c>
      <c r="H5" t="s">
        <v>22</v>
      </c>
      <c r="I5" t="s">
        <v>23</v>
      </c>
    </row>
    <row r="6" spans="1:9" x14ac:dyDescent="0.25">
      <c r="A6">
        <v>5</v>
      </c>
      <c r="B6" s="4">
        <v>43836</v>
      </c>
      <c r="C6" t="s">
        <v>24</v>
      </c>
      <c r="D6" s="5">
        <v>18.559999999999999</v>
      </c>
      <c r="E6" t="s">
        <v>25</v>
      </c>
      <c r="F6" t="s">
        <v>10</v>
      </c>
      <c r="G6" s="1">
        <v>5</v>
      </c>
      <c r="H6" t="s">
        <v>22</v>
      </c>
      <c r="I6" t="s">
        <v>26</v>
      </c>
    </row>
    <row r="7" spans="1:9" x14ac:dyDescent="0.25">
      <c r="A7">
        <v>6</v>
      </c>
      <c r="B7" s="4">
        <v>42081</v>
      </c>
      <c r="C7" t="s">
        <v>27</v>
      </c>
      <c r="D7" s="5">
        <v>202.47</v>
      </c>
      <c r="E7" t="s">
        <v>28</v>
      </c>
      <c r="F7" t="s">
        <v>10</v>
      </c>
      <c r="G7" s="1">
        <v>7</v>
      </c>
      <c r="H7" t="s">
        <v>22</v>
      </c>
      <c r="I7" t="s">
        <v>23</v>
      </c>
    </row>
    <row r="8" spans="1:9" x14ac:dyDescent="0.25">
      <c r="A8">
        <v>7</v>
      </c>
      <c r="B8" s="4">
        <v>43896</v>
      </c>
      <c r="C8" t="s">
        <v>29</v>
      </c>
      <c r="D8" s="5">
        <v>13.25</v>
      </c>
      <c r="E8" t="s">
        <v>30</v>
      </c>
      <c r="F8" t="s">
        <v>15</v>
      </c>
      <c r="G8" s="1">
        <v>5</v>
      </c>
      <c r="H8" t="s">
        <v>16</v>
      </c>
      <c r="I8" t="s">
        <v>26</v>
      </c>
    </row>
    <row r="9" spans="1:9" x14ac:dyDescent="0.25">
      <c r="A9">
        <v>8</v>
      </c>
      <c r="B9" s="4">
        <v>43141</v>
      </c>
      <c r="C9" t="s">
        <v>31</v>
      </c>
      <c r="D9" s="5">
        <v>18.96</v>
      </c>
      <c r="E9" t="s">
        <v>32</v>
      </c>
      <c r="F9" t="s">
        <v>10</v>
      </c>
      <c r="G9" s="1">
        <v>8</v>
      </c>
      <c r="H9" t="s">
        <v>22</v>
      </c>
      <c r="I9" t="s">
        <v>23</v>
      </c>
    </row>
    <row r="10" spans="1:9" x14ac:dyDescent="0.25">
      <c r="A10">
        <v>9</v>
      </c>
      <c r="B10" s="4">
        <v>43441</v>
      </c>
      <c r="C10" t="s">
        <v>33</v>
      </c>
      <c r="D10" s="5">
        <v>17.98</v>
      </c>
      <c r="E10" t="s">
        <v>34</v>
      </c>
      <c r="F10" t="s">
        <v>15</v>
      </c>
      <c r="G10" s="1">
        <v>14</v>
      </c>
      <c r="H10" t="s">
        <v>22</v>
      </c>
      <c r="I10" t="s">
        <v>26</v>
      </c>
    </row>
    <row r="11" spans="1:9" x14ac:dyDescent="0.25">
      <c r="A11">
        <v>10</v>
      </c>
      <c r="B11" s="4">
        <v>43901</v>
      </c>
      <c r="C11" t="s">
        <v>35</v>
      </c>
      <c r="D11" s="5">
        <v>18.98</v>
      </c>
      <c r="E11" t="s">
        <v>36</v>
      </c>
      <c r="F11" t="s">
        <v>10</v>
      </c>
      <c r="G11" s="1">
        <v>5</v>
      </c>
      <c r="H11" t="s">
        <v>16</v>
      </c>
      <c r="I11" t="s">
        <v>17</v>
      </c>
    </row>
    <row r="12" spans="1:9" x14ac:dyDescent="0.25">
      <c r="A12">
        <v>11</v>
      </c>
      <c r="B12" s="4">
        <v>43307</v>
      </c>
      <c r="C12" t="s">
        <v>37</v>
      </c>
      <c r="D12" s="5">
        <v>13.85</v>
      </c>
      <c r="E12" t="s">
        <v>38</v>
      </c>
      <c r="F12" t="s">
        <v>15</v>
      </c>
      <c r="G12" s="1">
        <v>14</v>
      </c>
      <c r="H12" t="s">
        <v>22</v>
      </c>
      <c r="I12" t="s">
        <v>23</v>
      </c>
    </row>
    <row r="13" spans="1:9" x14ac:dyDescent="0.25">
      <c r="A13">
        <v>12</v>
      </c>
      <c r="B13" s="4">
        <v>43392</v>
      </c>
      <c r="C13" t="s">
        <v>39</v>
      </c>
      <c r="D13" s="5">
        <v>25.98</v>
      </c>
      <c r="E13" t="s">
        <v>40</v>
      </c>
      <c r="F13" t="s">
        <v>10</v>
      </c>
      <c r="G13" s="1">
        <v>11</v>
      </c>
      <c r="H13" t="s">
        <v>11</v>
      </c>
      <c r="I13" t="s">
        <v>12</v>
      </c>
    </row>
    <row r="14" spans="1:9" x14ac:dyDescent="0.25">
      <c r="A14">
        <v>13</v>
      </c>
      <c r="B14" s="4">
        <v>43686</v>
      </c>
      <c r="C14" t="s">
        <v>41</v>
      </c>
      <c r="D14" s="5">
        <v>18.98</v>
      </c>
      <c r="E14" t="s">
        <v>32</v>
      </c>
      <c r="F14" t="s">
        <v>10</v>
      </c>
      <c r="G14" s="1">
        <v>9</v>
      </c>
      <c r="H14" t="s">
        <v>22</v>
      </c>
      <c r="I14" t="s">
        <v>26</v>
      </c>
    </row>
    <row r="15" spans="1:9" x14ac:dyDescent="0.25">
      <c r="A15">
        <v>14</v>
      </c>
      <c r="B15" s="4">
        <v>43147</v>
      </c>
      <c r="C15" t="s">
        <v>42</v>
      </c>
      <c r="D15" s="5">
        <v>18.559999999999999</v>
      </c>
      <c r="E15" t="s">
        <v>43</v>
      </c>
      <c r="F15" t="s">
        <v>10</v>
      </c>
      <c r="G15" s="1">
        <v>15</v>
      </c>
      <c r="H15" t="s">
        <v>22</v>
      </c>
      <c r="I15" t="s">
        <v>23</v>
      </c>
    </row>
    <row r="16" spans="1:9" x14ac:dyDescent="0.25">
      <c r="A16">
        <v>15</v>
      </c>
      <c r="B16" s="4">
        <v>44114</v>
      </c>
      <c r="C16" t="s">
        <v>44</v>
      </c>
      <c r="D16" s="5">
        <v>13.36</v>
      </c>
      <c r="E16" t="s">
        <v>45</v>
      </c>
      <c r="F16" t="s">
        <v>15</v>
      </c>
      <c r="G16" s="1">
        <v>5</v>
      </c>
      <c r="H16" t="s">
        <v>11</v>
      </c>
      <c r="I16" t="s">
        <v>12</v>
      </c>
    </row>
    <row r="17" spans="1:9" x14ac:dyDescent="0.25">
      <c r="A17">
        <v>16</v>
      </c>
      <c r="B17" s="4">
        <v>44104</v>
      </c>
      <c r="C17" t="s">
        <v>46</v>
      </c>
      <c r="D17" s="5">
        <v>29.98</v>
      </c>
      <c r="E17" t="s">
        <v>45</v>
      </c>
      <c r="F17" t="s">
        <v>15</v>
      </c>
      <c r="G17" s="1">
        <v>5</v>
      </c>
      <c r="H17" t="s">
        <v>11</v>
      </c>
      <c r="I17" t="s">
        <v>12</v>
      </c>
    </row>
    <row r="18" spans="1:9" x14ac:dyDescent="0.25">
      <c r="A18">
        <v>17</v>
      </c>
      <c r="B18" s="4">
        <v>42257</v>
      </c>
      <c r="C18" t="s">
        <v>27</v>
      </c>
      <c r="D18" s="5">
        <v>202.47</v>
      </c>
      <c r="E18" t="s">
        <v>47</v>
      </c>
      <c r="F18" t="s">
        <v>15</v>
      </c>
      <c r="G18" s="1">
        <v>11</v>
      </c>
      <c r="H18" t="s">
        <v>22</v>
      </c>
      <c r="I18" t="s">
        <v>23</v>
      </c>
    </row>
    <row r="19" spans="1:9" x14ac:dyDescent="0.25">
      <c r="A19">
        <v>18</v>
      </c>
      <c r="B19" s="4">
        <v>42427</v>
      </c>
      <c r="C19" t="s">
        <v>48</v>
      </c>
      <c r="D19" s="5">
        <v>35.619999999999997</v>
      </c>
      <c r="E19" t="s">
        <v>49</v>
      </c>
      <c r="F19" t="s">
        <v>15</v>
      </c>
      <c r="G19" s="1">
        <v>10</v>
      </c>
      <c r="H19" t="s">
        <v>16</v>
      </c>
      <c r="I19" t="s">
        <v>26</v>
      </c>
    </row>
    <row r="20" spans="1:9" x14ac:dyDescent="0.25">
      <c r="A20">
        <v>19</v>
      </c>
      <c r="B20" s="4">
        <v>42536</v>
      </c>
      <c r="C20" t="s">
        <v>50</v>
      </c>
      <c r="D20" s="5">
        <v>33.99</v>
      </c>
      <c r="E20" t="s">
        <v>51</v>
      </c>
      <c r="F20" t="s">
        <v>15</v>
      </c>
      <c r="G20" s="1">
        <v>9</v>
      </c>
      <c r="H20" t="s">
        <v>22</v>
      </c>
      <c r="I20" t="s">
        <v>23</v>
      </c>
    </row>
    <row r="21" spans="1:9" x14ac:dyDescent="0.25">
      <c r="A21">
        <v>20</v>
      </c>
      <c r="B21" s="4">
        <v>42389</v>
      </c>
      <c r="C21" t="s">
        <v>52</v>
      </c>
      <c r="D21" s="5">
        <v>17.2</v>
      </c>
      <c r="E21" t="s">
        <v>53</v>
      </c>
      <c r="F21" t="s">
        <v>10</v>
      </c>
      <c r="G21" s="1">
        <v>15</v>
      </c>
      <c r="H21" t="s">
        <v>22</v>
      </c>
      <c r="I21" t="s">
        <v>23</v>
      </c>
    </row>
    <row r="22" spans="1:9" x14ac:dyDescent="0.25">
      <c r="A22">
        <v>21</v>
      </c>
      <c r="B22" s="4">
        <v>43195</v>
      </c>
      <c r="C22" t="s">
        <v>54</v>
      </c>
      <c r="D22" s="5">
        <v>28.9</v>
      </c>
      <c r="E22" t="s">
        <v>55</v>
      </c>
      <c r="F22" t="s">
        <v>15</v>
      </c>
      <c r="G22" s="1">
        <v>14</v>
      </c>
      <c r="H22" t="s">
        <v>22</v>
      </c>
      <c r="I22" t="s">
        <v>26</v>
      </c>
    </row>
    <row r="23" spans="1:9" x14ac:dyDescent="0.25">
      <c r="A23">
        <v>22</v>
      </c>
      <c r="B23" s="4">
        <v>43174</v>
      </c>
      <c r="C23" t="s">
        <v>8</v>
      </c>
      <c r="D23" s="5">
        <v>43.36</v>
      </c>
      <c r="E23" t="s">
        <v>56</v>
      </c>
      <c r="F23" t="s">
        <v>15</v>
      </c>
      <c r="G23" s="1">
        <v>8</v>
      </c>
      <c r="H23" t="s">
        <v>22</v>
      </c>
      <c r="I23" t="s">
        <v>23</v>
      </c>
    </row>
    <row r="24" spans="1:9" x14ac:dyDescent="0.25">
      <c r="A24">
        <v>23</v>
      </c>
      <c r="B24" s="4">
        <v>42189</v>
      </c>
      <c r="C24" t="s">
        <v>27</v>
      </c>
      <c r="D24" s="5">
        <v>202.47</v>
      </c>
      <c r="E24" t="s">
        <v>57</v>
      </c>
      <c r="F24" t="s">
        <v>15</v>
      </c>
      <c r="G24" s="1">
        <v>11</v>
      </c>
      <c r="H24" t="s">
        <v>16</v>
      </c>
      <c r="I24" t="s">
        <v>17</v>
      </c>
    </row>
    <row r="25" spans="1:9" x14ac:dyDescent="0.25">
      <c r="A25">
        <v>24</v>
      </c>
      <c r="B25" s="4">
        <v>42491</v>
      </c>
      <c r="C25" t="s">
        <v>33</v>
      </c>
      <c r="D25" s="5">
        <v>17.98</v>
      </c>
      <c r="E25" t="s">
        <v>58</v>
      </c>
      <c r="F25" t="s">
        <v>15</v>
      </c>
      <c r="G25" s="1">
        <v>11</v>
      </c>
      <c r="H25" t="s">
        <v>11</v>
      </c>
      <c r="I25" t="s">
        <v>12</v>
      </c>
    </row>
    <row r="26" spans="1:9" x14ac:dyDescent="0.25">
      <c r="A26">
        <v>25</v>
      </c>
      <c r="B26" s="4">
        <v>42854</v>
      </c>
      <c r="C26" t="s">
        <v>59</v>
      </c>
      <c r="D26" s="5">
        <v>13.65</v>
      </c>
      <c r="E26" t="s">
        <v>60</v>
      </c>
      <c r="F26" t="s">
        <v>15</v>
      </c>
      <c r="G26" s="1">
        <v>11</v>
      </c>
      <c r="H26" t="s">
        <v>22</v>
      </c>
      <c r="I26" t="s">
        <v>23</v>
      </c>
    </row>
    <row r="27" spans="1:9" x14ac:dyDescent="0.25">
      <c r="A27">
        <v>26</v>
      </c>
      <c r="B27" s="4">
        <v>43107</v>
      </c>
      <c r="C27" t="s">
        <v>61</v>
      </c>
      <c r="D27" s="5">
        <v>458.32</v>
      </c>
      <c r="E27" t="s">
        <v>62</v>
      </c>
      <c r="F27" t="s">
        <v>15</v>
      </c>
      <c r="G27" s="1">
        <v>13</v>
      </c>
      <c r="H27" t="s">
        <v>11</v>
      </c>
      <c r="I27" t="s">
        <v>26</v>
      </c>
    </row>
    <row r="28" spans="1:9" x14ac:dyDescent="0.25">
      <c r="A28">
        <v>27</v>
      </c>
      <c r="B28" s="4">
        <v>42145</v>
      </c>
      <c r="C28" t="s">
        <v>27</v>
      </c>
      <c r="D28" s="5">
        <v>202.47</v>
      </c>
      <c r="E28" t="s">
        <v>63</v>
      </c>
      <c r="F28" t="s">
        <v>10</v>
      </c>
      <c r="G28" s="1">
        <v>11</v>
      </c>
      <c r="H28" t="s">
        <v>22</v>
      </c>
      <c r="I28" t="s">
        <v>23</v>
      </c>
    </row>
    <row r="29" spans="1:9" x14ac:dyDescent="0.25">
      <c r="A29">
        <v>28</v>
      </c>
      <c r="B29" s="4">
        <v>43907</v>
      </c>
      <c r="C29" t="s">
        <v>64</v>
      </c>
      <c r="D29" s="5">
        <v>13.89</v>
      </c>
      <c r="E29" t="s">
        <v>65</v>
      </c>
      <c r="F29" t="s">
        <v>15</v>
      </c>
      <c r="G29" s="1">
        <v>5</v>
      </c>
      <c r="H29" t="s">
        <v>22</v>
      </c>
      <c r="I29" t="s">
        <v>23</v>
      </c>
    </row>
    <row r="30" spans="1:9" x14ac:dyDescent="0.25">
      <c r="A30">
        <v>29</v>
      </c>
      <c r="B30" s="4">
        <v>42246</v>
      </c>
      <c r="C30" t="s">
        <v>27</v>
      </c>
      <c r="D30" s="5">
        <v>202.47</v>
      </c>
      <c r="E30" t="s">
        <v>66</v>
      </c>
      <c r="F30" t="s">
        <v>15</v>
      </c>
      <c r="G30" s="1">
        <v>14</v>
      </c>
      <c r="H30" t="s">
        <v>16</v>
      </c>
      <c r="I30" t="s">
        <v>26</v>
      </c>
    </row>
    <row r="31" spans="1:9" x14ac:dyDescent="0.25">
      <c r="A31">
        <v>30</v>
      </c>
      <c r="B31" s="4">
        <v>43608</v>
      </c>
      <c r="C31" t="s">
        <v>67</v>
      </c>
      <c r="D31" s="5">
        <v>30.98</v>
      </c>
      <c r="E31" t="s">
        <v>68</v>
      </c>
      <c r="F31" t="s">
        <v>10</v>
      </c>
      <c r="G31" s="1">
        <v>14</v>
      </c>
      <c r="H31" t="s">
        <v>22</v>
      </c>
      <c r="I31" t="s">
        <v>26</v>
      </c>
    </row>
    <row r="32" spans="1:9" x14ac:dyDescent="0.25">
      <c r="A32">
        <v>31</v>
      </c>
      <c r="B32" s="4">
        <v>43172</v>
      </c>
      <c r="C32" t="s">
        <v>69</v>
      </c>
      <c r="D32" s="5">
        <v>16.95</v>
      </c>
      <c r="E32" t="s">
        <v>70</v>
      </c>
      <c r="F32" t="s">
        <v>15</v>
      </c>
      <c r="G32" s="1">
        <v>11</v>
      </c>
      <c r="H32" t="s">
        <v>11</v>
      </c>
      <c r="I32" t="s">
        <v>12</v>
      </c>
    </row>
    <row r="33" spans="1:9" x14ac:dyDescent="0.25">
      <c r="A33">
        <v>32</v>
      </c>
      <c r="B33" s="4">
        <v>43649</v>
      </c>
      <c r="C33" t="s">
        <v>71</v>
      </c>
      <c r="D33" s="5">
        <v>26.85</v>
      </c>
      <c r="E33" t="s">
        <v>72</v>
      </c>
      <c r="F33" t="s">
        <v>15</v>
      </c>
      <c r="G33" s="1">
        <v>13</v>
      </c>
      <c r="H33" t="s">
        <v>16</v>
      </c>
      <c r="I33" t="s">
        <v>17</v>
      </c>
    </row>
    <row r="34" spans="1:9" x14ac:dyDescent="0.25">
      <c r="A34">
        <v>33</v>
      </c>
      <c r="B34" s="4">
        <v>42435</v>
      </c>
      <c r="C34" t="s">
        <v>69</v>
      </c>
      <c r="D34" s="5">
        <v>16.95</v>
      </c>
      <c r="E34" t="s">
        <v>73</v>
      </c>
      <c r="F34" t="s">
        <v>15</v>
      </c>
      <c r="G34" s="1">
        <v>9</v>
      </c>
      <c r="H34" t="s">
        <v>22</v>
      </c>
      <c r="I34" t="s">
        <v>23</v>
      </c>
    </row>
    <row r="35" spans="1:9" x14ac:dyDescent="0.25">
      <c r="A35">
        <v>34</v>
      </c>
      <c r="B35" s="4">
        <v>43273</v>
      </c>
      <c r="C35" t="s">
        <v>74</v>
      </c>
      <c r="D35" s="5">
        <v>65</v>
      </c>
      <c r="E35" t="s">
        <v>75</v>
      </c>
      <c r="F35" t="s">
        <v>10</v>
      </c>
      <c r="G35" s="1">
        <v>15</v>
      </c>
      <c r="H35" t="s">
        <v>16</v>
      </c>
      <c r="I35" t="s">
        <v>17</v>
      </c>
    </row>
  </sheetData>
  <dataValidations count="1">
    <dataValidation type="list" allowBlank="1" showInputMessage="1" showErrorMessage="1" sqref="F1:F1048576" xr:uid="{C4615AFF-FFAD-454E-9747-9784A4462165}">
      <formula1>"Feminino,Masculino,Outros"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8C4C-3C94-4E9D-A2D4-AAA54786A25C}">
  <dimension ref="A1:I30"/>
  <sheetViews>
    <sheetView showGridLines="0" workbookViewId="0">
      <selection activeCell="J13" sqref="J13"/>
    </sheetView>
  </sheetViews>
  <sheetFormatPr defaultRowHeight="15" x14ac:dyDescent="0.25"/>
  <cols>
    <col min="1" max="1" width="26.7109375" bestFit="1" customWidth="1"/>
    <col min="2" max="2" width="12" style="5" customWidth="1"/>
    <col min="3" max="3" width="14" style="1" customWidth="1"/>
    <col min="4" max="6" width="17.28515625" style="1" customWidth="1"/>
    <col min="8" max="8" width="11.7109375" bestFit="1" customWidth="1"/>
    <col min="9" max="9" width="15.7109375" customWidth="1"/>
    <col min="12" max="13" width="11.7109375" bestFit="1" customWidth="1"/>
  </cols>
  <sheetData>
    <row r="1" spans="1:9" x14ac:dyDescent="0.25">
      <c r="A1" s="6" t="s">
        <v>1</v>
      </c>
      <c r="B1" s="7" t="s">
        <v>2</v>
      </c>
      <c r="C1" s="9" t="s">
        <v>77</v>
      </c>
      <c r="D1" s="9" t="s">
        <v>78</v>
      </c>
      <c r="E1" s="9" t="s">
        <v>83</v>
      </c>
      <c r="F1" s="9" t="s">
        <v>84</v>
      </c>
    </row>
    <row r="2" spans="1:9" x14ac:dyDescent="0.25">
      <c r="A2" t="s">
        <v>27</v>
      </c>
      <c r="B2" s="5">
        <v>202.47</v>
      </c>
      <c r="C2" s="1">
        <v>83</v>
      </c>
      <c r="D2" s="1">
        <v>54</v>
      </c>
      <c r="E2" s="1">
        <f>C2-D2</f>
        <v>29</v>
      </c>
      <c r="F2" s="12">
        <f>B2*D2</f>
        <v>10933.38</v>
      </c>
    </row>
    <row r="3" spans="1:9" x14ac:dyDescent="0.25">
      <c r="A3" t="s">
        <v>61</v>
      </c>
      <c r="B3" s="5">
        <v>458.32</v>
      </c>
      <c r="C3" s="1">
        <v>37</v>
      </c>
      <c r="D3" s="1">
        <v>13</v>
      </c>
      <c r="E3" s="1">
        <f>C3-D3</f>
        <v>24</v>
      </c>
      <c r="F3" s="12">
        <f>B3*D3</f>
        <v>5958.16</v>
      </c>
    </row>
    <row r="4" spans="1:9" x14ac:dyDescent="0.25">
      <c r="A4" t="s">
        <v>74</v>
      </c>
      <c r="B4" s="5">
        <v>65</v>
      </c>
      <c r="C4" s="1">
        <v>52</v>
      </c>
      <c r="D4" s="1">
        <v>15</v>
      </c>
      <c r="E4" s="1">
        <f>C4-D4</f>
        <v>37</v>
      </c>
      <c r="F4" s="12">
        <f>B4*D4</f>
        <v>975</v>
      </c>
    </row>
    <row r="5" spans="1:9" x14ac:dyDescent="0.25">
      <c r="A5" t="s">
        <v>8</v>
      </c>
      <c r="B5" s="5">
        <v>43.36</v>
      </c>
      <c r="C5" s="1">
        <v>18</v>
      </c>
      <c r="D5" s="1">
        <v>15</v>
      </c>
      <c r="E5" s="1">
        <f>C5-D5</f>
        <v>3</v>
      </c>
      <c r="F5" s="12">
        <f>B5*D5</f>
        <v>650.4</v>
      </c>
    </row>
    <row r="6" spans="1:9" x14ac:dyDescent="0.25">
      <c r="A6" t="s">
        <v>33</v>
      </c>
      <c r="B6" s="5">
        <v>17.98</v>
      </c>
      <c r="C6" s="1">
        <v>53</v>
      </c>
      <c r="D6" s="1">
        <v>25</v>
      </c>
      <c r="E6" s="1">
        <f>C6-D6</f>
        <v>28</v>
      </c>
      <c r="F6" s="12">
        <f>B6*D6</f>
        <v>449.5</v>
      </c>
    </row>
    <row r="7" spans="1:9" x14ac:dyDescent="0.25">
      <c r="A7" t="s">
        <v>67</v>
      </c>
      <c r="B7" s="5">
        <v>30.98</v>
      </c>
      <c r="C7" s="1">
        <v>52</v>
      </c>
      <c r="D7" s="1">
        <v>14</v>
      </c>
      <c r="E7" s="1">
        <f>C7-D7</f>
        <v>38</v>
      </c>
      <c r="F7" s="12">
        <f>B7*D7</f>
        <v>433.72</v>
      </c>
      <c r="H7" s="10" t="s">
        <v>79</v>
      </c>
      <c r="I7" s="11">
        <f>SUM(B1:B28)</f>
        <v>1279.3699999999999</v>
      </c>
    </row>
    <row r="8" spans="1:9" x14ac:dyDescent="0.25">
      <c r="A8" t="s">
        <v>13</v>
      </c>
      <c r="B8" s="5">
        <v>45.36</v>
      </c>
      <c r="C8" s="1">
        <v>10</v>
      </c>
      <c r="D8" s="1">
        <v>9</v>
      </c>
      <c r="E8" s="1">
        <f>C8-D8</f>
        <v>1</v>
      </c>
      <c r="F8" s="12">
        <f>B8*D8</f>
        <v>408.24</v>
      </c>
      <c r="H8" s="10" t="s">
        <v>80</v>
      </c>
      <c r="I8" s="11">
        <f>B16-B17</f>
        <v>3.3499999999999996</v>
      </c>
    </row>
    <row r="9" spans="1:9" x14ac:dyDescent="0.25">
      <c r="A9" t="s">
        <v>54</v>
      </c>
      <c r="B9" s="5">
        <v>28.9</v>
      </c>
      <c r="C9" s="8">
        <v>17</v>
      </c>
      <c r="D9" s="1">
        <v>14</v>
      </c>
      <c r="E9" s="1">
        <f>C9-D9</f>
        <v>3</v>
      </c>
      <c r="F9" s="12">
        <f>B9*D9</f>
        <v>404.59999999999997</v>
      </c>
      <c r="H9" s="10" t="s">
        <v>81</v>
      </c>
      <c r="I9" s="11">
        <f xml:space="preserve"> B2*D2</f>
        <v>10933.38</v>
      </c>
    </row>
    <row r="10" spans="1:9" x14ac:dyDescent="0.25">
      <c r="A10" t="s">
        <v>48</v>
      </c>
      <c r="B10" s="5">
        <v>35.619999999999997</v>
      </c>
      <c r="C10" s="1">
        <v>12</v>
      </c>
      <c r="D10" s="1">
        <v>10</v>
      </c>
      <c r="E10" s="1">
        <f>C10-D10</f>
        <v>2</v>
      </c>
      <c r="F10" s="12">
        <f>B10*D10</f>
        <v>356.2</v>
      </c>
      <c r="H10" s="10" t="s">
        <v>82</v>
      </c>
      <c r="I10" s="11">
        <f xml:space="preserve"> B3/D3</f>
        <v>35.255384615384614</v>
      </c>
    </row>
    <row r="11" spans="1:9" x14ac:dyDescent="0.25">
      <c r="A11" t="s">
        <v>71</v>
      </c>
      <c r="B11" s="5">
        <v>26.85</v>
      </c>
      <c r="C11" s="1">
        <v>48</v>
      </c>
      <c r="D11" s="1">
        <v>13</v>
      </c>
      <c r="E11" s="1">
        <f>C11-D11</f>
        <v>35</v>
      </c>
      <c r="F11" s="12">
        <f>B11*D11</f>
        <v>349.05</v>
      </c>
    </row>
    <row r="12" spans="1:9" x14ac:dyDescent="0.25">
      <c r="A12" t="s">
        <v>69</v>
      </c>
      <c r="B12" s="5">
        <v>16.95</v>
      </c>
      <c r="C12" s="8">
        <v>42</v>
      </c>
      <c r="D12" s="1">
        <v>20</v>
      </c>
      <c r="E12" s="1">
        <f>C12-D12</f>
        <v>22</v>
      </c>
      <c r="F12" s="12">
        <f>B12*D12</f>
        <v>339</v>
      </c>
    </row>
    <row r="13" spans="1:9" x14ac:dyDescent="0.25">
      <c r="A13" t="s">
        <v>50</v>
      </c>
      <c r="B13" s="5">
        <v>33.99</v>
      </c>
      <c r="C13" s="8">
        <v>18</v>
      </c>
      <c r="D13" s="1">
        <v>9</v>
      </c>
      <c r="E13" s="1">
        <f>C13-D13</f>
        <v>9</v>
      </c>
      <c r="F13" s="12">
        <f>B13*D13</f>
        <v>305.91000000000003</v>
      </c>
    </row>
    <row r="14" spans="1:9" x14ac:dyDescent="0.25">
      <c r="A14" t="s">
        <v>39</v>
      </c>
      <c r="B14" s="5">
        <v>25.98</v>
      </c>
      <c r="C14" s="8">
        <v>31</v>
      </c>
      <c r="D14" s="1">
        <v>11</v>
      </c>
      <c r="E14" s="1">
        <f>C14-D14</f>
        <v>20</v>
      </c>
      <c r="F14" s="12">
        <f>B14*D14</f>
        <v>285.78000000000003</v>
      </c>
    </row>
    <row r="15" spans="1:9" x14ac:dyDescent="0.25">
      <c r="A15" t="s">
        <v>42</v>
      </c>
      <c r="B15" s="5">
        <v>18.559999999999999</v>
      </c>
      <c r="C15" s="8">
        <v>26</v>
      </c>
      <c r="D15" s="1">
        <v>15</v>
      </c>
      <c r="E15" s="1">
        <f>C15-D15</f>
        <v>11</v>
      </c>
      <c r="F15" s="12">
        <f>B15*D15</f>
        <v>278.39999999999998</v>
      </c>
    </row>
    <row r="16" spans="1:9" x14ac:dyDescent="0.25">
      <c r="A16" t="s">
        <v>52</v>
      </c>
      <c r="B16" s="5">
        <v>17.2</v>
      </c>
      <c r="C16" s="8">
        <v>27</v>
      </c>
      <c r="D16" s="1">
        <v>15</v>
      </c>
      <c r="E16" s="1">
        <f>C16-D16</f>
        <v>12</v>
      </c>
      <c r="F16" s="12">
        <f>B16*D16</f>
        <v>258</v>
      </c>
    </row>
    <row r="17" spans="1:6" x14ac:dyDescent="0.25">
      <c r="A17" t="s">
        <v>37</v>
      </c>
      <c r="B17" s="5">
        <v>13.85</v>
      </c>
      <c r="C17" s="8">
        <v>38</v>
      </c>
      <c r="D17" s="1">
        <v>14</v>
      </c>
      <c r="E17" s="1">
        <f>C17-D17</f>
        <v>24</v>
      </c>
      <c r="F17" s="12">
        <f>B17*D17</f>
        <v>193.9</v>
      </c>
    </row>
    <row r="18" spans="1:6" x14ac:dyDescent="0.25">
      <c r="A18" t="s">
        <v>20</v>
      </c>
      <c r="B18" s="5">
        <v>25.87</v>
      </c>
      <c r="C18" s="1">
        <v>19</v>
      </c>
      <c r="D18" s="1">
        <v>7</v>
      </c>
      <c r="E18" s="1">
        <f>C18-D18</f>
        <v>12</v>
      </c>
      <c r="F18" s="12">
        <f>B18*D18</f>
        <v>181.09</v>
      </c>
    </row>
    <row r="19" spans="1:6" x14ac:dyDescent="0.25">
      <c r="A19" t="s">
        <v>41</v>
      </c>
      <c r="B19" s="5">
        <v>18.98</v>
      </c>
      <c r="C19" s="1">
        <v>20</v>
      </c>
      <c r="D19" s="1">
        <v>9</v>
      </c>
      <c r="E19" s="1">
        <f>C19-D19</f>
        <v>11</v>
      </c>
      <c r="F19" s="12">
        <f>B19*D19</f>
        <v>170.82</v>
      </c>
    </row>
    <row r="20" spans="1:6" x14ac:dyDescent="0.25">
      <c r="A20" t="s">
        <v>31</v>
      </c>
      <c r="B20" s="5">
        <v>18.96</v>
      </c>
      <c r="C20" s="8">
        <v>19</v>
      </c>
      <c r="D20" s="1">
        <v>8</v>
      </c>
      <c r="E20" s="1">
        <f>C20-D20</f>
        <v>11</v>
      </c>
      <c r="F20" s="12">
        <f>B20*D20</f>
        <v>151.68</v>
      </c>
    </row>
    <row r="21" spans="1:6" x14ac:dyDescent="0.25">
      <c r="A21" t="s">
        <v>59</v>
      </c>
      <c r="B21" s="5">
        <v>13.65</v>
      </c>
      <c r="C21" s="8">
        <v>52</v>
      </c>
      <c r="D21" s="1">
        <v>11</v>
      </c>
      <c r="E21" s="1">
        <f>C21-D21</f>
        <v>41</v>
      </c>
      <c r="F21" s="12">
        <f>B21*D21</f>
        <v>150.15</v>
      </c>
    </row>
    <row r="22" spans="1:6" x14ac:dyDescent="0.25">
      <c r="A22" t="s">
        <v>46</v>
      </c>
      <c r="B22" s="5">
        <v>29.98</v>
      </c>
      <c r="C22" s="1">
        <v>28</v>
      </c>
      <c r="D22" s="1">
        <v>5</v>
      </c>
      <c r="E22" s="1">
        <f>C22-D22</f>
        <v>23</v>
      </c>
      <c r="F22" s="12">
        <f>B22*D22</f>
        <v>149.9</v>
      </c>
    </row>
    <row r="23" spans="1:6" x14ac:dyDescent="0.25">
      <c r="A23" t="s">
        <v>35</v>
      </c>
      <c r="B23" s="5">
        <v>18.98</v>
      </c>
      <c r="C23" s="1">
        <v>26</v>
      </c>
      <c r="D23" s="1">
        <v>5</v>
      </c>
      <c r="E23" s="1">
        <f>C23-D23</f>
        <v>21</v>
      </c>
      <c r="F23" s="12">
        <f>B23*D23</f>
        <v>94.9</v>
      </c>
    </row>
    <row r="24" spans="1:6" x14ac:dyDescent="0.25">
      <c r="A24" t="s">
        <v>24</v>
      </c>
      <c r="B24" s="5">
        <v>18.559999999999999</v>
      </c>
      <c r="C24" s="8">
        <v>30</v>
      </c>
      <c r="D24" s="1">
        <v>5</v>
      </c>
      <c r="E24" s="1">
        <f>C24-D24</f>
        <v>25</v>
      </c>
      <c r="F24" s="12">
        <f>B24*D24</f>
        <v>92.8</v>
      </c>
    </row>
    <row r="25" spans="1:6" x14ac:dyDescent="0.25">
      <c r="A25" t="s">
        <v>64</v>
      </c>
      <c r="B25" s="5">
        <v>13.89</v>
      </c>
      <c r="C25" s="8">
        <v>25</v>
      </c>
      <c r="D25" s="1">
        <v>5</v>
      </c>
      <c r="E25" s="1">
        <f>C25-D25</f>
        <v>20</v>
      </c>
      <c r="F25" s="12">
        <f>B25*D25</f>
        <v>69.45</v>
      </c>
    </row>
    <row r="26" spans="1:6" x14ac:dyDescent="0.25">
      <c r="A26" t="s">
        <v>44</v>
      </c>
      <c r="B26" s="5">
        <v>13.36</v>
      </c>
      <c r="C26" s="8">
        <v>25</v>
      </c>
      <c r="D26" s="1">
        <v>5</v>
      </c>
      <c r="E26" s="1">
        <f>C26-D26</f>
        <v>20</v>
      </c>
      <c r="F26" s="12">
        <f>B26*D26</f>
        <v>66.8</v>
      </c>
    </row>
    <row r="27" spans="1:6" x14ac:dyDescent="0.25">
      <c r="A27" t="s">
        <v>29</v>
      </c>
      <c r="B27" s="5">
        <v>13.25</v>
      </c>
      <c r="C27" s="1">
        <v>34</v>
      </c>
      <c r="D27" s="1">
        <v>5</v>
      </c>
      <c r="E27" s="1">
        <f>C27-D27</f>
        <v>29</v>
      </c>
      <c r="F27" s="12">
        <f>B27*D27</f>
        <v>66.25</v>
      </c>
    </row>
    <row r="28" spans="1:6" x14ac:dyDescent="0.25">
      <c r="A28" t="s">
        <v>18</v>
      </c>
      <c r="B28" s="5">
        <v>12.52</v>
      </c>
      <c r="C28" s="8">
        <v>35</v>
      </c>
      <c r="D28" s="1">
        <v>5</v>
      </c>
      <c r="E28" s="1">
        <f>C28-D28</f>
        <v>30</v>
      </c>
      <c r="F28" s="12">
        <f>B28*D28</f>
        <v>62.599999999999994</v>
      </c>
    </row>
    <row r="30" spans="1:6" x14ac:dyDescent="0.25">
      <c r="E30" s="1" t="s">
        <v>85</v>
      </c>
      <c r="F30" s="12">
        <f xml:space="preserve"> SUM(F2:F28)</f>
        <v>23835.680000000008</v>
      </c>
    </row>
  </sheetData>
  <autoFilter ref="A1:F28" xr:uid="{F39B8C4C-3C94-4E9D-A2D4-AAA54786A25C}">
    <sortState xmlns:xlrd2="http://schemas.microsoft.com/office/spreadsheetml/2017/richdata2" ref="A2:F28">
      <sortCondition descending="1" ref="F1:F28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de dados</vt:lpstr>
      <vt:lpstr>Controle de 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Santos da Silva</dc:creator>
  <cp:lastModifiedBy>VICTOR AMATO DOS SANTOS FILHO</cp:lastModifiedBy>
  <dcterms:created xsi:type="dcterms:W3CDTF">2023-11-17T18:06:10Z</dcterms:created>
  <dcterms:modified xsi:type="dcterms:W3CDTF">2025-11-18T12:31:13Z</dcterms:modified>
</cp:coreProperties>
</file>