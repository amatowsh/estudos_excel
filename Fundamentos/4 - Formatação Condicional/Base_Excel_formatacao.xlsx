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am\Desktop\Analista de Dados\Excel\estudos_excel\Fundamentos\4 - Formatação Condicional\"/>
    </mc:Choice>
  </mc:AlternateContent>
  <xr:revisionPtr revIDLastSave="0" documentId="13_ncr:1_{2C0D5B05-70A0-4AA6-A0C5-A8FD76639225}" xr6:coauthVersionLast="47" xr6:coauthVersionMax="47" xr10:uidLastSave="{00000000-0000-0000-0000-000000000000}"/>
  <bookViews>
    <workbookView xWindow="-120" yWindow="-120" windowWidth="29040" windowHeight="15720" xr2:uid="{541E900F-80D1-4CE5-BB9A-516BAE9418ED}"/>
  </bookViews>
  <sheets>
    <sheet name="Base de Dados" sheetId="1" r:id="rId1"/>
    <sheet name="Format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M6" i="1"/>
  <c r="M5" i="1"/>
  <c r="J8" i="2"/>
  <c r="J26" i="2"/>
  <c r="J13" i="2"/>
  <c r="J23" i="2"/>
  <c r="J9" i="2"/>
  <c r="J3" i="2"/>
  <c r="J32" i="2"/>
  <c r="J6" i="2"/>
  <c r="J2" i="2"/>
  <c r="J28" i="2"/>
  <c r="J21" i="2"/>
  <c r="J5" i="2"/>
  <c r="J14" i="2"/>
  <c r="J11" i="2"/>
  <c r="J19" i="2"/>
  <c r="J15" i="2"/>
  <c r="J12" i="2"/>
  <c r="J4" i="2"/>
  <c r="J29" i="2"/>
  <c r="J33" i="2"/>
  <c r="J18" i="2"/>
  <c r="J25" i="2"/>
  <c r="J17" i="2"/>
  <c r="J22" i="2"/>
  <c r="J30" i="2"/>
  <c r="J20" i="2"/>
  <c r="J27" i="2"/>
  <c r="J34" i="2"/>
  <c r="J7" i="2"/>
  <c r="J31" i="2"/>
  <c r="J24" i="2"/>
  <c r="J35" i="2"/>
  <c r="J10" i="2"/>
  <c r="J16" i="2"/>
  <c r="J2" i="1"/>
  <c r="M10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M9" i="1" l="1"/>
</calcChain>
</file>

<file path=xl/sharedStrings.xml><?xml version="1.0" encoding="utf-8"?>
<sst xmlns="http://schemas.openxmlformats.org/spreadsheetml/2006/main" count="369" uniqueCount="87">
  <si>
    <t>ID</t>
  </si>
  <si>
    <t>Data da Venda</t>
  </si>
  <si>
    <t>Produto</t>
  </si>
  <si>
    <t>Preço</t>
  </si>
  <si>
    <t>Vendedor</t>
  </si>
  <si>
    <t>Sexo</t>
  </si>
  <si>
    <t>Quantidade</t>
  </si>
  <si>
    <t>Forma de Pagamento</t>
  </si>
  <si>
    <t>Loja</t>
  </si>
  <si>
    <t>Lancheira Básica</t>
  </si>
  <si>
    <t>Ana Beatriz Trindade</t>
  </si>
  <si>
    <t>Feminino</t>
  </si>
  <si>
    <t>Cartão de Crédito</t>
  </si>
  <si>
    <t>Santa Catarina</t>
  </si>
  <si>
    <t>Lancheira Premium Completa</t>
  </si>
  <si>
    <t>Israel Becker</t>
  </si>
  <si>
    <t>Masculino</t>
  </si>
  <si>
    <t>Transferência Bancária</t>
  </si>
  <si>
    <t>São Paulo</t>
  </si>
  <si>
    <t>Caderno Pautado 150 Fl Pq</t>
  </si>
  <si>
    <t>Cecília Tavares</t>
  </si>
  <si>
    <t>Mouse Básico</t>
  </si>
  <si>
    <t>Yuri Xavier</t>
  </si>
  <si>
    <t>Boleto</t>
  </si>
  <si>
    <t>Rio de Janeiro</t>
  </si>
  <si>
    <t>Camisa Branca P</t>
  </si>
  <si>
    <t>Pietra Lopes</t>
  </si>
  <si>
    <t>Rio Grande do Sul</t>
  </si>
  <si>
    <t>Teclado Wireless</t>
  </si>
  <si>
    <t>Fernanda Neves</t>
  </si>
  <si>
    <t>Giz de cera Pequeno 12 Cores</t>
  </si>
  <si>
    <t>André Lopes</t>
  </si>
  <si>
    <t>Caneta 4 Cores P5</t>
  </si>
  <si>
    <t>Vitória Siqueira</t>
  </si>
  <si>
    <t>Fichário</t>
  </si>
  <si>
    <t>Daniel Nascimento</t>
  </si>
  <si>
    <t>Pistola de cola quente</t>
  </si>
  <si>
    <t>Maria Fernanda Carvalho</t>
  </si>
  <si>
    <t>Esquadro Color</t>
  </si>
  <si>
    <t>Pietro Nascimento</t>
  </si>
  <si>
    <t>Estojo Modelo Pano</t>
  </si>
  <si>
    <t>Ana Laura Noronha</t>
  </si>
  <si>
    <t>Short Preto G</t>
  </si>
  <si>
    <t>Camisa Branca M</t>
  </si>
  <si>
    <t>Luna Nascimento Sampaio</t>
  </si>
  <si>
    <t>Avental</t>
  </si>
  <si>
    <t>Pedro Lucas Frota</t>
  </si>
  <si>
    <t>Giz de cera Grande 24 Cores</t>
  </si>
  <si>
    <t>Davi Uchoa</t>
  </si>
  <si>
    <t>Resma Papel A4</t>
  </si>
  <si>
    <t>Davi Miguel Neves</t>
  </si>
  <si>
    <t>Borracha Branca Protector P20</t>
  </si>
  <si>
    <t>Thomas Junqueira</t>
  </si>
  <si>
    <t>Caneta Azul P10</t>
  </si>
  <si>
    <t>Maria Isis Trindade</t>
  </si>
  <si>
    <t>Caderno Pautado 300 Fl</t>
  </si>
  <si>
    <t>Yago Frota</t>
  </si>
  <si>
    <t>Gael Xavier</t>
  </si>
  <si>
    <t>Carlos Eduardo</t>
  </si>
  <si>
    <t>Arthur Henrique Pires</t>
  </si>
  <si>
    <t>Esquadro Transparente</t>
  </si>
  <si>
    <t>Lorenzo Rangel</t>
  </si>
  <si>
    <t>Projetor 720</t>
  </si>
  <si>
    <t>Guilherme Valença</t>
  </si>
  <si>
    <t>Letícia Peçanha</t>
  </si>
  <si>
    <t>Cola Bastão</t>
  </si>
  <si>
    <t>Pietro Lopes</t>
  </si>
  <si>
    <t>Lucas Barros</t>
  </si>
  <si>
    <t>Tinta Aquarela Azul</t>
  </si>
  <si>
    <t>Catarina Penteado</t>
  </si>
  <si>
    <t>Cola 500 ml</t>
  </si>
  <si>
    <t>Arthur Miguel dos Santos</t>
  </si>
  <si>
    <t>Tesoura Premium</t>
  </si>
  <si>
    <t>Erick Frota</t>
  </si>
  <si>
    <t>Arthur Pereira</t>
  </si>
  <si>
    <t>PenDrive 128 Gb</t>
  </si>
  <si>
    <t>Emilly Pimenta</t>
  </si>
  <si>
    <t>Faturamento Total</t>
  </si>
  <si>
    <t>Acima R$ 500,00</t>
  </si>
  <si>
    <t>Entre R$ 100,00 a R$500,00</t>
  </si>
  <si>
    <t>Inferior a R$ 100,00</t>
  </si>
  <si>
    <t>MÉDIA</t>
  </si>
  <si>
    <t>MEDIANA</t>
  </si>
  <si>
    <t>MÍNIMO</t>
  </si>
  <si>
    <t>MÁXIMO</t>
  </si>
  <si>
    <t>MAIOR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</si>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</sst>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13">
    <dxf>
      <numFmt numFmtId="164" formatCode="&quot;R$&quot;\ #,##0.0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numFmt numFmtId="164" formatCode="&quot;R$&quot;\ #,##0.0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CCFF"/>
      <color rgb="FFFFD13F"/>
      <color rgb="FF3DCF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243840</xdr:colOff>
      <xdr:row>3</xdr:row>
      <xdr:rowOff>22860</xdr:rowOff>
    </xdr:from>
    <xdr:to>
      <xdr:col>11</xdr:col>
      <xdr:colOff>388620</xdr:colOff>
      <xdr:row>3</xdr:row>
      <xdr:rowOff>167640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321EECD-FF10-11D4-597D-5E22767EAEEB}"/>
            </a:ext>
          </a:extLst>
        </xdr:cNvPr>
        <xdr:cNvSpPr/>
      </xdr:nvSpPr>
      <xdr:spPr>
        <a:xfrm>
          <a:off x="12725400" y="571500"/>
          <a:ext cx="144780" cy="144780"/>
        </a:xfrm>
        <a:prstGeom prst="ellipse">
          <a:avLst/>
        </a:prstGeom>
        <a:solidFill>
          <a:srgbClr val="3DCF4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251460</xdr:colOff>
      <xdr:row>4</xdr:row>
      <xdr:rowOff>22860</xdr:rowOff>
    </xdr:from>
    <xdr:to>
      <xdr:col>11</xdr:col>
      <xdr:colOff>396240</xdr:colOff>
      <xdr:row>4</xdr:row>
      <xdr:rowOff>167640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B46D569D-C2B1-4CD1-B457-0864FEB66DF0}"/>
            </a:ext>
          </a:extLst>
        </xdr:cNvPr>
        <xdr:cNvSpPr/>
      </xdr:nvSpPr>
      <xdr:spPr>
        <a:xfrm>
          <a:off x="12733020" y="754380"/>
          <a:ext cx="144780" cy="144780"/>
        </a:xfrm>
        <a:prstGeom prst="ellipse">
          <a:avLst/>
        </a:prstGeom>
        <a:solidFill>
          <a:srgbClr val="FFD1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259080</xdr:colOff>
      <xdr:row>5</xdr:row>
      <xdr:rowOff>30480</xdr:rowOff>
    </xdr:from>
    <xdr:to>
      <xdr:col>11</xdr:col>
      <xdr:colOff>403860</xdr:colOff>
      <xdr:row>5</xdr:row>
      <xdr:rowOff>175260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21BECED-CF85-4B19-9100-004F527C4205}"/>
            </a:ext>
          </a:extLst>
        </xdr:cNvPr>
        <xdr:cNvSpPr/>
      </xdr:nvSpPr>
      <xdr:spPr>
        <a:xfrm>
          <a:off x="12740640" y="944880"/>
          <a:ext cx="144780" cy="14478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A87FC-5283-42C0-A02B-8007BF56AFB7}" name="Tabela5" displayName="Tabela5" ref="A1:J35" totalsRowShown="0" headerRowDxfId="4">
  <autoFilter ref="A1:J35" xr:uid="{785A87FC-5283-42C0-A02B-8007BF56AFB7}"/>
  <sortState xmlns:xlrd2="http://schemas.microsoft.com/office/spreadsheetml/2017/richdata2" ref="A2:J35">
    <sortCondition ref="A1:A35"/>
  </sortState>
  <tableColumns count="10">
    <tableColumn id="1" xr3:uid="{66CA802C-9800-441D-A8F8-29AD8F89E183}" name="ID"/>
    <tableColumn id="10" xr3:uid="{1C1E0EFF-6DB9-4CEA-9D79-CA8953DF7B42}" name="Data da Venda" dataDxfId="3"/>
    <tableColumn id="9" xr3:uid="{224F6929-42CF-4676-8A5B-120D969BC991}" name="Produto"/>
    <tableColumn id="4" xr3:uid="{A93AB521-E8C4-4453-895D-22DD56C7302B}" name="Preço" dataDxfId="2"/>
    <tableColumn id="5" xr3:uid="{58AA1D74-8DD2-4F98-A801-41E8E6248232}" name="Vendedor"/>
    <tableColumn id="3" xr3:uid="{1411CCB2-5C15-4353-8918-B1C996E9A795}" name="Sexo"/>
    <tableColumn id="6" xr3:uid="{CCD4BA03-571A-4A05-A306-0742A90D96E8}" name="Quantidade" dataDxfId="1"/>
    <tableColumn id="7" xr3:uid="{0D19D6B7-B9DD-42FF-BF14-E5EDFE8D98F9}" name="Forma de Pagamento"/>
    <tableColumn id="8" xr3:uid="{62DA9239-F7C6-4065-8704-8219BCBD6D18}" name="Loja"/>
    <tableColumn id="2" xr3:uid="{4A967333-949B-48C1-AD31-68AF7DCDE465}" name="Faturamento Total" dataDxfId="0">
      <calculatedColumnFormula>PRODUCT(Tabela5[[#This Row],[Preço]],Tabela5[[#This Row],[Quantidade]])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DB561-62EC-457E-AF65-7FEC5D6D494A}" name="Tabela53" displayName="Tabela53" ref="A1:J35" totalsRowShown="0" headerRowDxfId="12">
  <autoFilter ref="A1:J35" xr:uid="{EC0DB561-62EC-457E-AF65-7FEC5D6D494A}"/>
  <sortState xmlns:xlrd2="http://schemas.microsoft.com/office/spreadsheetml/2017/richdata2" ref="A2:J35">
    <sortCondition descending="1" ref="J1:J35"/>
  </sortState>
  <tableColumns count="10">
    <tableColumn id="1" xr3:uid="{F9419AE2-9994-4F96-9D60-F0F71B9F28B6}" name="ID"/>
    <tableColumn id="10" xr3:uid="{D0D52DF5-1B43-4780-A1D2-5747E4D6926A}" name="Data da Venda" dataDxfId="11"/>
    <tableColumn id="9" xr3:uid="{D648C4AB-96AF-4B9E-BA5C-0275D1BC63EE}" name="Produto"/>
    <tableColumn id="4" xr3:uid="{7F7B86B3-FF56-424D-AE48-7D86875367DC}" name="Preço" dataDxfId="10"/>
    <tableColumn id="5" xr3:uid="{7EA843AB-1217-4319-BDC2-FBAE6BD52673}" name="Vendedor"/>
    <tableColumn id="3" xr3:uid="{FAD676E0-B491-43EA-972D-CA5630AF149E}" name="Sexo"/>
    <tableColumn id="6" xr3:uid="{B74691B6-E03B-4BEA-BD7D-D7173FD336D5}" name="Quantidade" dataDxfId="9"/>
    <tableColumn id="7" xr3:uid="{8C6BB92E-ECC2-4342-AB8A-E896C735BB89}" name="Forma de Pagamento"/>
    <tableColumn id="8" xr3:uid="{F374C857-2C90-41CD-9B1E-BFBF1169AA67}" name="Loja"/>
    <tableColumn id="2" xr3:uid="{F5F116FB-DB31-40C2-80BF-4255F02AFE4D}" name="Faturamento Total" dataDxfId="8">
      <calculatedColumnFormula>PRODUCT(Tabela53[[#This Row],[Preço]],Tabela53[[#This Row],[Quantidade]])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F111-F82F-4038-BC03-28877CB11EE8}">
  <dimension ref="A1:M35"/>
  <sheetViews>
    <sheetView tabSelected="1" workbookViewId="0">
      <selection activeCell="M28" sqref="M28"/>
    </sheetView>
  </sheetViews>
  <sheetFormatPr defaultRowHeight="15" x14ac:dyDescent="0.25"/>
  <cols>
    <col min="2" max="2" width="14.28515625" style="5" customWidth="1"/>
    <col min="3" max="3" width="27.85546875" bestFit="1" customWidth="1"/>
    <col min="4" max="4" width="12" style="3" customWidth="1"/>
    <col min="5" max="5" width="24.5703125" bestFit="1" customWidth="1"/>
    <col min="6" max="6" width="11.85546875" customWidth="1"/>
    <col min="7" max="7" width="12.85546875" style="1" customWidth="1"/>
    <col min="8" max="8" width="21.140625" bestFit="1" customWidth="1"/>
    <col min="9" max="9" width="18.7109375" customWidth="1"/>
    <col min="10" max="10" width="20.7109375" style="3" bestFit="1" customWidth="1"/>
    <col min="11" max="11" width="10.85546875" customWidth="1"/>
    <col min="12" max="12" width="11.5703125" customWidth="1"/>
    <col min="13" max="13" width="21.140625" customWidth="1"/>
  </cols>
  <sheetData>
    <row r="1" spans="1:13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77</v>
      </c>
    </row>
    <row r="2" spans="1:13" x14ac:dyDescent="0.25">
      <c r="A2" s="4">
        <v>1</v>
      </c>
      <c r="B2" s="5">
        <v>42980</v>
      </c>
      <c r="C2" t="s">
        <v>9</v>
      </c>
      <c r="D2" s="3">
        <v>43.36</v>
      </c>
      <c r="E2" t="s">
        <v>10</v>
      </c>
      <c r="F2" t="s">
        <v>11</v>
      </c>
      <c r="G2" s="1">
        <v>7</v>
      </c>
      <c r="H2" t="s">
        <v>12</v>
      </c>
      <c r="I2" t="s">
        <v>13</v>
      </c>
      <c r="J2" s="3">
        <f>PRODUCT(Tabela5[[#This Row],[Preço]],Tabela5[[#This Row],[Quantidade]])</f>
        <v>303.52</v>
      </c>
    </row>
    <row r="3" spans="1:13" x14ac:dyDescent="0.25">
      <c r="A3">
        <v>2</v>
      </c>
      <c r="B3" s="5">
        <v>42535</v>
      </c>
      <c r="C3" t="s">
        <v>14</v>
      </c>
      <c r="D3" s="3">
        <v>45.36</v>
      </c>
      <c r="E3" t="s">
        <v>15</v>
      </c>
      <c r="F3" t="s">
        <v>16</v>
      </c>
      <c r="G3" s="1">
        <v>9</v>
      </c>
      <c r="H3" t="s">
        <v>17</v>
      </c>
      <c r="I3" t="s">
        <v>18</v>
      </c>
      <c r="J3" s="3">
        <f>PRODUCT(Tabela5[[#This Row],[Preço]],Tabela5[[#This Row],[Quantidade]])</f>
        <v>408.24</v>
      </c>
    </row>
    <row r="4" spans="1:13" x14ac:dyDescent="0.25">
      <c r="A4">
        <v>3</v>
      </c>
      <c r="B4" s="5">
        <v>43946</v>
      </c>
      <c r="C4" t="s">
        <v>19</v>
      </c>
      <c r="D4" s="3">
        <v>12.52</v>
      </c>
      <c r="E4" t="s">
        <v>20</v>
      </c>
      <c r="F4" t="s">
        <v>11</v>
      </c>
      <c r="G4" s="1">
        <v>5</v>
      </c>
      <c r="H4" t="s">
        <v>12</v>
      </c>
      <c r="I4" t="s">
        <v>18</v>
      </c>
      <c r="J4" s="3">
        <f>PRODUCT(Tabela5[[#This Row],[Preço]],Tabela5[[#This Row],[Quantidade]])</f>
        <v>62.599999999999994</v>
      </c>
    </row>
    <row r="5" spans="1:13" x14ac:dyDescent="0.25">
      <c r="A5">
        <v>4</v>
      </c>
      <c r="B5" s="5">
        <v>42200</v>
      </c>
      <c r="C5" t="s">
        <v>21</v>
      </c>
      <c r="D5" s="3">
        <v>25.87</v>
      </c>
      <c r="E5" t="s">
        <v>22</v>
      </c>
      <c r="F5" t="s">
        <v>16</v>
      </c>
      <c r="G5" s="1">
        <v>7</v>
      </c>
      <c r="H5" t="s">
        <v>23</v>
      </c>
      <c r="I5" t="s">
        <v>24</v>
      </c>
      <c r="J5" s="3">
        <f>PRODUCT(Tabela5[[#This Row],[Preço]],Tabela5[[#This Row],[Quantidade]])</f>
        <v>181.09</v>
      </c>
      <c r="L5" s="8" t="s">
        <v>81</v>
      </c>
      <c r="M5" s="9">
        <f>AVERAGE(D:D)</f>
        <v>63.751176470588234</v>
      </c>
    </row>
    <row r="6" spans="1:13" x14ac:dyDescent="0.25">
      <c r="A6">
        <v>5</v>
      </c>
      <c r="B6" s="5">
        <v>43836</v>
      </c>
      <c r="C6" t="s">
        <v>25</v>
      </c>
      <c r="D6" s="3">
        <v>18.559999999999999</v>
      </c>
      <c r="E6" t="s">
        <v>26</v>
      </c>
      <c r="F6" t="s">
        <v>11</v>
      </c>
      <c r="G6" s="1">
        <v>5</v>
      </c>
      <c r="H6" t="s">
        <v>23</v>
      </c>
      <c r="I6" t="s">
        <v>27</v>
      </c>
      <c r="J6" s="3">
        <f>PRODUCT(Tabela5[[#This Row],[Preço]],Tabela5[[#This Row],[Quantidade]])</f>
        <v>92.8</v>
      </c>
      <c r="L6" s="8" t="s">
        <v>82</v>
      </c>
      <c r="M6" s="7">
        <f>MEDIAN(G:G)</f>
        <v>10.5</v>
      </c>
    </row>
    <row r="7" spans="1:13" x14ac:dyDescent="0.25">
      <c r="A7">
        <v>6</v>
      </c>
      <c r="B7" s="5">
        <v>42081</v>
      </c>
      <c r="C7" t="s">
        <v>28</v>
      </c>
      <c r="D7" s="3">
        <v>202.47</v>
      </c>
      <c r="E7" t="s">
        <v>29</v>
      </c>
      <c r="F7" t="s">
        <v>11</v>
      </c>
      <c r="G7" s="1">
        <v>7</v>
      </c>
      <c r="H7" t="s">
        <v>23</v>
      </c>
      <c r="I7" t="s">
        <v>24</v>
      </c>
      <c r="J7" s="3">
        <f>PRODUCT(Tabela5[[#This Row],[Preço]],Tabela5[[#This Row],[Quantidade]])</f>
        <v>1417.29</v>
      </c>
      <c r="L7" s="8" t="s">
        <v>83</v>
      </c>
      <c r="M7" s="9">
        <f>MIN(D:D)</f>
        <v>12.52</v>
      </c>
    </row>
    <row r="8" spans="1:13" x14ac:dyDescent="0.25">
      <c r="A8">
        <v>7</v>
      </c>
      <c r="B8" s="5">
        <v>43896</v>
      </c>
      <c r="C8" t="s">
        <v>30</v>
      </c>
      <c r="D8" s="3">
        <v>13.25</v>
      </c>
      <c r="E8" t="s">
        <v>31</v>
      </c>
      <c r="F8" t="s">
        <v>16</v>
      </c>
      <c r="G8" s="1">
        <v>5</v>
      </c>
      <c r="H8" t="s">
        <v>17</v>
      </c>
      <c r="I8" t="s">
        <v>27</v>
      </c>
      <c r="J8" s="3">
        <f>PRODUCT(Tabela5[[#This Row],[Preço]],Tabela5[[#This Row],[Quantidade]])</f>
        <v>66.25</v>
      </c>
      <c r="L8" s="8" t="s">
        <v>84</v>
      </c>
      <c r="M8" s="9">
        <f>MAX(D:D)</f>
        <v>458.32</v>
      </c>
    </row>
    <row r="9" spans="1:13" x14ac:dyDescent="0.25">
      <c r="A9">
        <v>8</v>
      </c>
      <c r="B9" s="5">
        <v>43141</v>
      </c>
      <c r="C9" t="s">
        <v>32</v>
      </c>
      <c r="D9" s="3">
        <v>18.96</v>
      </c>
      <c r="E9" t="s">
        <v>33</v>
      </c>
      <c r="F9" t="s">
        <v>11</v>
      </c>
      <c r="G9" s="1">
        <v>8</v>
      </c>
      <c r="H9" t="s">
        <v>23</v>
      </c>
      <c r="I9" t="s">
        <v>24</v>
      </c>
      <c r="J9" s="3">
        <f>PRODUCT(Tabela5[[#This Row],[Preço]],Tabela5[[#This Row],[Quantidade]])</f>
        <v>151.68</v>
      </c>
      <c r="L9" s="8" t="s">
        <v>85</v>
      </c>
      <c r="M9" s="9">
        <f>LARGE(J:J,2)</f>
        <v>2834.58</v>
      </c>
    </row>
    <row r="10" spans="1:13" x14ac:dyDescent="0.25">
      <c r="A10">
        <v>9</v>
      </c>
      <c r="B10" s="5">
        <v>43441</v>
      </c>
      <c r="C10" t="s">
        <v>34</v>
      </c>
      <c r="D10" s="3">
        <v>17.98</v>
      </c>
      <c r="E10" t="s">
        <v>35</v>
      </c>
      <c r="F10" t="s">
        <v>16</v>
      </c>
      <c r="G10" s="1">
        <v>14</v>
      </c>
      <c r="H10" t="s">
        <v>23</v>
      </c>
      <c r="I10" t="s">
        <v>27</v>
      </c>
      <c r="J10" s="3">
        <f>PRODUCT(Tabela5[[#This Row],[Preço]],Tabela5[[#This Row],[Quantidade]])</f>
        <v>251.72</v>
      </c>
      <c r="L10" s="8" t="s">
        <v>86</v>
      </c>
      <c r="M10" s="9">
        <f>SMALL(J:J,2)</f>
        <v>66.25</v>
      </c>
    </row>
    <row r="11" spans="1:13" x14ac:dyDescent="0.25">
      <c r="A11">
        <v>10</v>
      </c>
      <c r="B11" s="5">
        <v>43901</v>
      </c>
      <c r="C11" t="s">
        <v>36</v>
      </c>
      <c r="D11" s="3">
        <v>18.98</v>
      </c>
      <c r="E11" t="s">
        <v>37</v>
      </c>
      <c r="F11" t="s">
        <v>11</v>
      </c>
      <c r="G11" s="1">
        <v>5</v>
      </c>
      <c r="H11" t="s">
        <v>17</v>
      </c>
      <c r="I11" t="s">
        <v>18</v>
      </c>
      <c r="J11" s="3">
        <f>PRODUCT(Tabela5[[#This Row],[Preço]],Tabela5[[#This Row],[Quantidade]])</f>
        <v>94.9</v>
      </c>
    </row>
    <row r="12" spans="1:13" x14ac:dyDescent="0.25">
      <c r="A12">
        <v>11</v>
      </c>
      <c r="B12" s="5">
        <v>43307</v>
      </c>
      <c r="C12" t="s">
        <v>38</v>
      </c>
      <c r="D12" s="3">
        <v>13.85</v>
      </c>
      <c r="E12" t="s">
        <v>39</v>
      </c>
      <c r="F12" t="s">
        <v>16</v>
      </c>
      <c r="G12" s="1">
        <v>14</v>
      </c>
      <c r="H12" t="s">
        <v>23</v>
      </c>
      <c r="I12" t="s">
        <v>24</v>
      </c>
      <c r="J12" s="3">
        <f>PRODUCT(Tabela5[[#This Row],[Preço]],Tabela5[[#This Row],[Quantidade]])</f>
        <v>193.9</v>
      </c>
    </row>
    <row r="13" spans="1:13" x14ac:dyDescent="0.25">
      <c r="A13">
        <v>12</v>
      </c>
      <c r="B13" s="5">
        <v>43392</v>
      </c>
      <c r="C13" t="s">
        <v>40</v>
      </c>
      <c r="D13" s="3">
        <v>25.98</v>
      </c>
      <c r="E13" t="s">
        <v>41</v>
      </c>
      <c r="F13" t="s">
        <v>11</v>
      </c>
      <c r="G13" s="1">
        <v>11</v>
      </c>
      <c r="H13" t="s">
        <v>12</v>
      </c>
      <c r="I13" t="s">
        <v>13</v>
      </c>
      <c r="J13" s="3">
        <f>PRODUCT(Tabela5[[#This Row],[Preço]],Tabela5[[#This Row],[Quantidade]])</f>
        <v>285.78000000000003</v>
      </c>
    </row>
    <row r="14" spans="1:13" x14ac:dyDescent="0.25">
      <c r="A14">
        <v>13</v>
      </c>
      <c r="B14" s="5">
        <v>43686</v>
      </c>
      <c r="C14" t="s">
        <v>42</v>
      </c>
      <c r="D14" s="3">
        <v>18.98</v>
      </c>
      <c r="E14" t="s">
        <v>33</v>
      </c>
      <c r="F14" t="s">
        <v>11</v>
      </c>
      <c r="G14" s="1">
        <v>9</v>
      </c>
      <c r="H14" t="s">
        <v>23</v>
      </c>
      <c r="I14" t="s">
        <v>27</v>
      </c>
      <c r="J14" s="3">
        <f>PRODUCT(Tabela5[[#This Row],[Preço]],Tabela5[[#This Row],[Quantidade]])</f>
        <v>170.82</v>
      </c>
    </row>
    <row r="15" spans="1:13" x14ac:dyDescent="0.25">
      <c r="A15">
        <v>14</v>
      </c>
      <c r="B15" s="5">
        <v>43147</v>
      </c>
      <c r="C15" t="s">
        <v>43</v>
      </c>
      <c r="D15" s="3">
        <v>18.559999999999999</v>
      </c>
      <c r="E15" t="s">
        <v>44</v>
      </c>
      <c r="F15" t="s">
        <v>11</v>
      </c>
      <c r="G15" s="1">
        <v>15</v>
      </c>
      <c r="H15" t="s">
        <v>23</v>
      </c>
      <c r="I15" t="s">
        <v>24</v>
      </c>
      <c r="J15" s="3">
        <f>PRODUCT(Tabela5[[#This Row],[Preço]],Tabela5[[#This Row],[Quantidade]])</f>
        <v>278.39999999999998</v>
      </c>
    </row>
    <row r="16" spans="1:13" x14ac:dyDescent="0.25">
      <c r="A16">
        <v>15</v>
      </c>
      <c r="B16" s="5">
        <v>44114</v>
      </c>
      <c r="C16" t="s">
        <v>45</v>
      </c>
      <c r="D16" s="3">
        <v>13.36</v>
      </c>
      <c r="E16" t="s">
        <v>46</v>
      </c>
      <c r="F16" t="s">
        <v>16</v>
      </c>
      <c r="G16" s="1">
        <v>5</v>
      </c>
      <c r="H16" t="s">
        <v>12</v>
      </c>
      <c r="I16" t="s">
        <v>13</v>
      </c>
      <c r="J16" s="3">
        <f>PRODUCT(Tabela5[[#This Row],[Preço]],Tabela5[[#This Row],[Quantidade]])</f>
        <v>66.8</v>
      </c>
    </row>
    <row r="17" spans="1:10" x14ac:dyDescent="0.25">
      <c r="A17">
        <v>16</v>
      </c>
      <c r="B17" s="5">
        <v>44104</v>
      </c>
      <c r="C17" t="s">
        <v>47</v>
      </c>
      <c r="D17" s="3">
        <v>29.98</v>
      </c>
      <c r="E17" t="s">
        <v>46</v>
      </c>
      <c r="F17" t="s">
        <v>16</v>
      </c>
      <c r="G17" s="1">
        <v>5</v>
      </c>
      <c r="H17" t="s">
        <v>12</v>
      </c>
      <c r="I17" t="s">
        <v>13</v>
      </c>
      <c r="J17" s="3">
        <f>PRODUCT(Tabela5[[#This Row],[Preço]],Tabela5[[#This Row],[Quantidade]])</f>
        <v>149.9</v>
      </c>
    </row>
    <row r="18" spans="1:10" x14ac:dyDescent="0.25">
      <c r="A18">
        <v>17</v>
      </c>
      <c r="B18" s="5">
        <v>42257</v>
      </c>
      <c r="C18" t="s">
        <v>28</v>
      </c>
      <c r="D18" s="3">
        <v>202.47</v>
      </c>
      <c r="E18" t="s">
        <v>48</v>
      </c>
      <c r="F18" t="s">
        <v>16</v>
      </c>
      <c r="G18" s="1">
        <v>11</v>
      </c>
      <c r="H18" t="s">
        <v>23</v>
      </c>
      <c r="I18" t="s">
        <v>24</v>
      </c>
      <c r="J18" s="3">
        <f>PRODUCT(Tabela5[[#This Row],[Preço]],Tabela5[[#This Row],[Quantidade]])</f>
        <v>2227.17</v>
      </c>
    </row>
    <row r="19" spans="1:10" x14ac:dyDescent="0.25">
      <c r="A19">
        <v>18</v>
      </c>
      <c r="B19" s="5">
        <v>42427</v>
      </c>
      <c r="C19" t="s">
        <v>49</v>
      </c>
      <c r="D19" s="3">
        <v>35.619999999999997</v>
      </c>
      <c r="E19" t="s">
        <v>50</v>
      </c>
      <c r="F19" t="s">
        <v>16</v>
      </c>
      <c r="G19" s="1">
        <v>10</v>
      </c>
      <c r="H19" t="s">
        <v>17</v>
      </c>
      <c r="I19" t="s">
        <v>27</v>
      </c>
      <c r="J19" s="3">
        <f>PRODUCT(Tabela5[[#This Row],[Preço]],Tabela5[[#This Row],[Quantidade]])</f>
        <v>356.2</v>
      </c>
    </row>
    <row r="20" spans="1:10" x14ac:dyDescent="0.25">
      <c r="A20">
        <v>19</v>
      </c>
      <c r="B20" s="5">
        <v>42536</v>
      </c>
      <c r="C20" t="s">
        <v>51</v>
      </c>
      <c r="D20" s="3">
        <v>33.99</v>
      </c>
      <c r="E20" t="s">
        <v>52</v>
      </c>
      <c r="F20" t="s">
        <v>16</v>
      </c>
      <c r="G20" s="1">
        <v>9</v>
      </c>
      <c r="H20" t="s">
        <v>23</v>
      </c>
      <c r="I20" t="s">
        <v>24</v>
      </c>
      <c r="J20" s="3">
        <f>PRODUCT(Tabela5[[#This Row],[Preço]],Tabela5[[#This Row],[Quantidade]])</f>
        <v>305.91000000000003</v>
      </c>
    </row>
    <row r="21" spans="1:10" x14ac:dyDescent="0.25">
      <c r="A21">
        <v>20</v>
      </c>
      <c r="B21" s="5">
        <v>42389</v>
      </c>
      <c r="C21" t="s">
        <v>53</v>
      </c>
      <c r="D21" s="3">
        <v>17.2</v>
      </c>
      <c r="E21" t="s">
        <v>54</v>
      </c>
      <c r="F21" t="s">
        <v>11</v>
      </c>
      <c r="G21" s="1">
        <v>15</v>
      </c>
      <c r="H21" t="s">
        <v>23</v>
      </c>
      <c r="I21" t="s">
        <v>24</v>
      </c>
      <c r="J21" s="3">
        <f>PRODUCT(Tabela5[[#This Row],[Preço]],Tabela5[[#This Row],[Quantidade]])</f>
        <v>258</v>
      </c>
    </row>
    <row r="22" spans="1:10" x14ac:dyDescent="0.25">
      <c r="A22">
        <v>21</v>
      </c>
      <c r="B22" s="5">
        <v>43195</v>
      </c>
      <c r="C22" t="s">
        <v>55</v>
      </c>
      <c r="D22" s="3">
        <v>28.9</v>
      </c>
      <c r="E22" t="s">
        <v>56</v>
      </c>
      <c r="F22" t="s">
        <v>16</v>
      </c>
      <c r="G22" s="1">
        <v>14</v>
      </c>
      <c r="H22" t="s">
        <v>23</v>
      </c>
      <c r="I22" t="s">
        <v>27</v>
      </c>
      <c r="J22" s="3">
        <f>PRODUCT(Tabela5[[#This Row],[Preço]],Tabela5[[#This Row],[Quantidade]])</f>
        <v>404.59999999999997</v>
      </c>
    </row>
    <row r="23" spans="1:10" x14ac:dyDescent="0.25">
      <c r="A23">
        <v>22</v>
      </c>
      <c r="B23" s="5">
        <v>43174</v>
      </c>
      <c r="C23" t="s">
        <v>9</v>
      </c>
      <c r="D23" s="3">
        <v>43.36</v>
      </c>
      <c r="E23" t="s">
        <v>57</v>
      </c>
      <c r="F23" t="s">
        <v>16</v>
      </c>
      <c r="G23" s="1">
        <v>8</v>
      </c>
      <c r="H23" t="s">
        <v>23</v>
      </c>
      <c r="I23" t="s">
        <v>24</v>
      </c>
      <c r="J23" s="3">
        <f>PRODUCT(Tabela5[[#This Row],[Preço]],Tabela5[[#This Row],[Quantidade]])</f>
        <v>346.88</v>
      </c>
    </row>
    <row r="24" spans="1:10" x14ac:dyDescent="0.25">
      <c r="A24">
        <v>23</v>
      </c>
      <c r="B24" s="5">
        <v>42189</v>
      </c>
      <c r="C24" t="s">
        <v>28</v>
      </c>
      <c r="D24" s="3">
        <v>202.47</v>
      </c>
      <c r="E24" t="s">
        <v>58</v>
      </c>
      <c r="F24" t="s">
        <v>16</v>
      </c>
      <c r="G24" s="1">
        <v>11</v>
      </c>
      <c r="H24" t="s">
        <v>17</v>
      </c>
      <c r="I24" t="s">
        <v>18</v>
      </c>
      <c r="J24" s="3">
        <f>PRODUCT(Tabela5[[#This Row],[Preço]],Tabela5[[#This Row],[Quantidade]])</f>
        <v>2227.17</v>
      </c>
    </row>
    <row r="25" spans="1:10" x14ac:dyDescent="0.25">
      <c r="A25">
        <v>24</v>
      </c>
      <c r="B25" s="5">
        <v>42491</v>
      </c>
      <c r="C25" t="s">
        <v>34</v>
      </c>
      <c r="D25" s="3">
        <v>17.98</v>
      </c>
      <c r="E25" t="s">
        <v>59</v>
      </c>
      <c r="F25" t="s">
        <v>16</v>
      </c>
      <c r="G25" s="1">
        <v>11</v>
      </c>
      <c r="H25" t="s">
        <v>12</v>
      </c>
      <c r="I25" t="s">
        <v>13</v>
      </c>
      <c r="J25" s="3">
        <f>PRODUCT(Tabela5[[#This Row],[Preço]],Tabela5[[#This Row],[Quantidade]])</f>
        <v>197.78</v>
      </c>
    </row>
    <row r="26" spans="1:10" x14ac:dyDescent="0.25">
      <c r="A26">
        <v>25</v>
      </c>
      <c r="B26" s="5">
        <v>42854</v>
      </c>
      <c r="C26" t="s">
        <v>60</v>
      </c>
      <c r="D26" s="3">
        <v>13.65</v>
      </c>
      <c r="E26" t="s">
        <v>61</v>
      </c>
      <c r="F26" t="s">
        <v>16</v>
      </c>
      <c r="G26" s="1">
        <v>11</v>
      </c>
      <c r="H26" t="s">
        <v>23</v>
      </c>
      <c r="I26" t="s">
        <v>24</v>
      </c>
      <c r="J26" s="3">
        <f>PRODUCT(Tabela5[[#This Row],[Preço]],Tabela5[[#This Row],[Quantidade]])</f>
        <v>150.15</v>
      </c>
    </row>
    <row r="27" spans="1:10" x14ac:dyDescent="0.25">
      <c r="A27">
        <v>26</v>
      </c>
      <c r="B27" s="5">
        <v>43107</v>
      </c>
      <c r="C27" t="s">
        <v>62</v>
      </c>
      <c r="D27" s="3">
        <v>458.32</v>
      </c>
      <c r="E27" t="s">
        <v>63</v>
      </c>
      <c r="F27" t="s">
        <v>16</v>
      </c>
      <c r="G27" s="1">
        <v>13</v>
      </c>
      <c r="H27" t="s">
        <v>12</v>
      </c>
      <c r="I27" t="s">
        <v>27</v>
      </c>
      <c r="J27" s="3">
        <f>PRODUCT(Tabela5[[#This Row],[Preço]],Tabela5[[#This Row],[Quantidade]])</f>
        <v>5958.16</v>
      </c>
    </row>
    <row r="28" spans="1:10" x14ac:dyDescent="0.25">
      <c r="A28">
        <v>27</v>
      </c>
      <c r="B28" s="5">
        <v>42145</v>
      </c>
      <c r="C28" t="s">
        <v>28</v>
      </c>
      <c r="D28" s="3">
        <v>202.47</v>
      </c>
      <c r="E28" t="s">
        <v>64</v>
      </c>
      <c r="F28" t="s">
        <v>11</v>
      </c>
      <c r="G28" s="1">
        <v>11</v>
      </c>
      <c r="H28" t="s">
        <v>23</v>
      </c>
      <c r="I28" t="s">
        <v>24</v>
      </c>
      <c r="J28" s="3">
        <f>PRODUCT(Tabela5[[#This Row],[Preço]],Tabela5[[#This Row],[Quantidade]])</f>
        <v>2227.17</v>
      </c>
    </row>
    <row r="29" spans="1:10" x14ac:dyDescent="0.25">
      <c r="A29">
        <v>28</v>
      </c>
      <c r="B29" s="5">
        <v>43907</v>
      </c>
      <c r="C29" t="s">
        <v>65</v>
      </c>
      <c r="D29" s="3">
        <v>13.89</v>
      </c>
      <c r="E29" t="s">
        <v>66</v>
      </c>
      <c r="F29" t="s">
        <v>16</v>
      </c>
      <c r="G29" s="1">
        <v>5</v>
      </c>
      <c r="H29" t="s">
        <v>23</v>
      </c>
      <c r="I29" t="s">
        <v>24</v>
      </c>
      <c r="J29" s="3">
        <f>PRODUCT(Tabela5[[#This Row],[Preço]],Tabela5[[#This Row],[Quantidade]])</f>
        <v>69.45</v>
      </c>
    </row>
    <row r="30" spans="1:10" x14ac:dyDescent="0.25">
      <c r="A30">
        <v>29</v>
      </c>
      <c r="B30" s="5">
        <v>42246</v>
      </c>
      <c r="C30" t="s">
        <v>28</v>
      </c>
      <c r="D30" s="3">
        <v>202.47</v>
      </c>
      <c r="E30" t="s">
        <v>67</v>
      </c>
      <c r="F30" t="s">
        <v>16</v>
      </c>
      <c r="G30" s="1">
        <v>14</v>
      </c>
      <c r="H30" t="s">
        <v>17</v>
      </c>
      <c r="I30" t="s">
        <v>27</v>
      </c>
      <c r="J30" s="3">
        <f>PRODUCT(Tabela5[[#This Row],[Preço]],Tabela5[[#This Row],[Quantidade]])</f>
        <v>2834.58</v>
      </c>
    </row>
    <row r="31" spans="1:10" x14ac:dyDescent="0.25">
      <c r="A31">
        <v>30</v>
      </c>
      <c r="B31" s="5">
        <v>43608</v>
      </c>
      <c r="C31" t="s">
        <v>68</v>
      </c>
      <c r="D31" s="3">
        <v>30.98</v>
      </c>
      <c r="E31" t="s">
        <v>69</v>
      </c>
      <c r="F31" t="s">
        <v>11</v>
      </c>
      <c r="G31" s="1">
        <v>14</v>
      </c>
      <c r="H31" t="s">
        <v>23</v>
      </c>
      <c r="I31" t="s">
        <v>27</v>
      </c>
      <c r="J31" s="3">
        <f>PRODUCT(Tabela5[[#This Row],[Preço]],Tabela5[[#This Row],[Quantidade]])</f>
        <v>433.72</v>
      </c>
    </row>
    <row r="32" spans="1:10" x14ac:dyDescent="0.25">
      <c r="A32">
        <v>31</v>
      </c>
      <c r="B32" s="5">
        <v>43172</v>
      </c>
      <c r="C32" t="s">
        <v>70</v>
      </c>
      <c r="D32" s="3">
        <v>16.95</v>
      </c>
      <c r="E32" t="s">
        <v>71</v>
      </c>
      <c r="F32" t="s">
        <v>16</v>
      </c>
      <c r="G32" s="1">
        <v>11</v>
      </c>
      <c r="H32" t="s">
        <v>12</v>
      </c>
      <c r="I32" t="s">
        <v>13</v>
      </c>
      <c r="J32" s="3">
        <f>PRODUCT(Tabela5[[#This Row],[Preço]],Tabela5[[#This Row],[Quantidade]])</f>
        <v>186.45</v>
      </c>
    </row>
    <row r="33" spans="1:10" x14ac:dyDescent="0.25">
      <c r="A33">
        <v>32</v>
      </c>
      <c r="B33" s="5">
        <v>43649</v>
      </c>
      <c r="C33" t="s">
        <v>72</v>
      </c>
      <c r="D33" s="3">
        <v>26.85</v>
      </c>
      <c r="E33" t="s">
        <v>73</v>
      </c>
      <c r="F33" t="s">
        <v>16</v>
      </c>
      <c r="G33" s="1">
        <v>13</v>
      </c>
      <c r="H33" t="s">
        <v>17</v>
      </c>
      <c r="I33" t="s">
        <v>18</v>
      </c>
      <c r="J33" s="3">
        <f>PRODUCT(Tabela5[[#This Row],[Preço]],Tabela5[[#This Row],[Quantidade]])</f>
        <v>349.05</v>
      </c>
    </row>
    <row r="34" spans="1:10" x14ac:dyDescent="0.25">
      <c r="A34">
        <v>33</v>
      </c>
      <c r="B34" s="5">
        <v>42435</v>
      </c>
      <c r="C34" t="s">
        <v>70</v>
      </c>
      <c r="D34" s="3">
        <v>16.95</v>
      </c>
      <c r="E34" t="s">
        <v>74</v>
      </c>
      <c r="F34" t="s">
        <v>16</v>
      </c>
      <c r="G34" s="1">
        <v>9</v>
      </c>
      <c r="H34" t="s">
        <v>23</v>
      </c>
      <c r="I34" t="s">
        <v>24</v>
      </c>
      <c r="J34" s="3">
        <f>PRODUCT(Tabela5[[#This Row],[Preço]],Tabela5[[#This Row],[Quantidade]])</f>
        <v>152.54999999999998</v>
      </c>
    </row>
    <row r="35" spans="1:10" x14ac:dyDescent="0.25">
      <c r="A35">
        <v>34</v>
      </c>
      <c r="B35" s="5">
        <v>43273</v>
      </c>
      <c r="C35" t="s">
        <v>75</v>
      </c>
      <c r="D35" s="3">
        <v>65</v>
      </c>
      <c r="E35" t="s">
        <v>76</v>
      </c>
      <c r="F35" t="s">
        <v>11</v>
      </c>
      <c r="G35" s="1">
        <v>15</v>
      </c>
      <c r="H35" t="s">
        <v>17</v>
      </c>
      <c r="I35" t="s">
        <v>18</v>
      </c>
      <c r="J35" s="3">
        <f>PRODUCT(Tabela5[[#This Row],[Preço]],Tabela5[[#This Row],[Quantidade]])</f>
        <v>975</v>
      </c>
    </row>
  </sheetData>
  <phoneticPr fontId="2" type="noConversion"/>
  <dataValidations disablePrompts="1" count="1">
    <dataValidation type="list" allowBlank="1" showInputMessage="1" showErrorMessage="1" sqref="F1:F1048576" xr:uid="{4A567582-2BCB-43CA-BFCD-59A6C5EDC2C8}">
      <formula1>"Feminino,Masculino,Outros"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8E4E-AB35-49CA-9371-5655BE2BDD5E}">
  <dimension ref="A1:M35"/>
  <sheetViews>
    <sheetView showGridLines="0" topLeftCell="B1" workbookViewId="0">
      <selection activeCell="L14" sqref="L14"/>
    </sheetView>
  </sheetViews>
  <sheetFormatPr defaultRowHeight="15" x14ac:dyDescent="0.25"/>
  <cols>
    <col min="2" max="2" width="14.28515625" style="5" customWidth="1"/>
    <col min="3" max="3" width="27.85546875" bestFit="1" customWidth="1"/>
    <col min="4" max="4" width="12" style="3" customWidth="1"/>
    <col min="5" max="5" width="24.5703125" bestFit="1" customWidth="1"/>
    <col min="6" max="6" width="11.85546875" customWidth="1"/>
    <col min="7" max="7" width="12.85546875" style="1" customWidth="1"/>
    <col min="8" max="8" width="21.140625" bestFit="1" customWidth="1"/>
    <col min="9" max="9" width="18.7109375" customWidth="1"/>
    <col min="10" max="10" width="20.7109375" style="3" bestFit="1" customWidth="1"/>
    <col min="13" max="13" width="23.5703125" bestFit="1" customWidth="1"/>
  </cols>
  <sheetData>
    <row r="1" spans="1:13" x14ac:dyDescent="0.25">
      <c r="A1" s="1" t="s">
        <v>0</v>
      </c>
      <c r="B1" s="5" t="s">
        <v>1</v>
      </c>
      <c r="C1" t="s">
        <v>2</v>
      </c>
      <c r="D1" s="6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77</v>
      </c>
    </row>
    <row r="2" spans="1:13" x14ac:dyDescent="0.25">
      <c r="A2">
        <v>26</v>
      </c>
      <c r="B2" s="5">
        <v>43107</v>
      </c>
      <c r="C2" t="s">
        <v>62</v>
      </c>
      <c r="D2" s="3">
        <v>458.32</v>
      </c>
      <c r="E2" t="s">
        <v>63</v>
      </c>
      <c r="F2" t="s">
        <v>16</v>
      </c>
      <c r="G2" s="1">
        <v>13</v>
      </c>
      <c r="H2" t="s">
        <v>12</v>
      </c>
      <c r="I2" t="s">
        <v>27</v>
      </c>
      <c r="J2" s="3">
        <f>PRODUCT(Tabela53[[#This Row],[Preço]],Tabela53[[#This Row],[Quantidade]])</f>
        <v>5958.16</v>
      </c>
    </row>
    <row r="3" spans="1:13" x14ac:dyDescent="0.25">
      <c r="A3">
        <v>29</v>
      </c>
      <c r="B3" s="5">
        <v>42246</v>
      </c>
      <c r="C3" t="s">
        <v>28</v>
      </c>
      <c r="D3" s="3">
        <v>202.47</v>
      </c>
      <c r="E3" t="s">
        <v>67</v>
      </c>
      <c r="F3" t="s">
        <v>16</v>
      </c>
      <c r="G3" s="1">
        <v>14</v>
      </c>
      <c r="H3" t="s">
        <v>17</v>
      </c>
      <c r="I3" t="s">
        <v>27</v>
      </c>
      <c r="J3" s="3">
        <f>PRODUCT(Tabela53[[#This Row],[Preço]],Tabela53[[#This Row],[Quantidade]])</f>
        <v>2834.58</v>
      </c>
    </row>
    <row r="4" spans="1:13" x14ac:dyDescent="0.25">
      <c r="A4">
        <v>17</v>
      </c>
      <c r="B4" s="5">
        <v>42257</v>
      </c>
      <c r="C4" t="s">
        <v>28</v>
      </c>
      <c r="D4" s="3">
        <v>202.47</v>
      </c>
      <c r="E4" t="s">
        <v>48</v>
      </c>
      <c r="F4" t="s">
        <v>16</v>
      </c>
      <c r="G4" s="1">
        <v>11</v>
      </c>
      <c r="H4" t="s">
        <v>23</v>
      </c>
      <c r="I4" t="s">
        <v>24</v>
      </c>
      <c r="J4" s="3">
        <f>PRODUCT(Tabela53[[#This Row],[Preço]],Tabela53[[#This Row],[Quantidade]])</f>
        <v>2227.17</v>
      </c>
      <c r="L4" s="7"/>
      <c r="M4" s="7" t="s">
        <v>78</v>
      </c>
    </row>
    <row r="5" spans="1:13" x14ac:dyDescent="0.25">
      <c r="A5">
        <v>23</v>
      </c>
      <c r="B5" s="5">
        <v>42189</v>
      </c>
      <c r="C5" t="s">
        <v>28</v>
      </c>
      <c r="D5" s="3">
        <v>202.47</v>
      </c>
      <c r="E5" t="s">
        <v>58</v>
      </c>
      <c r="F5" t="s">
        <v>16</v>
      </c>
      <c r="G5" s="1">
        <v>11</v>
      </c>
      <c r="H5" t="s">
        <v>17</v>
      </c>
      <c r="I5" t="s">
        <v>18</v>
      </c>
      <c r="J5" s="3">
        <f>PRODUCT(Tabela53[[#This Row],[Preço]],Tabela53[[#This Row],[Quantidade]])</f>
        <v>2227.17</v>
      </c>
      <c r="L5" s="7"/>
      <c r="M5" s="7" t="s">
        <v>79</v>
      </c>
    </row>
    <row r="6" spans="1:13" x14ac:dyDescent="0.25">
      <c r="A6">
        <v>27</v>
      </c>
      <c r="B6" s="5">
        <v>42145</v>
      </c>
      <c r="C6" t="s">
        <v>28</v>
      </c>
      <c r="D6" s="3">
        <v>202.47</v>
      </c>
      <c r="E6" t="s">
        <v>64</v>
      </c>
      <c r="F6" t="s">
        <v>11</v>
      </c>
      <c r="G6" s="1">
        <v>11</v>
      </c>
      <c r="H6" t="s">
        <v>23</v>
      </c>
      <c r="I6" t="s">
        <v>24</v>
      </c>
      <c r="J6" s="3">
        <f>PRODUCT(Tabela53[[#This Row],[Preço]],Tabela53[[#This Row],[Quantidade]])</f>
        <v>2227.17</v>
      </c>
      <c r="L6" s="7"/>
      <c r="M6" s="7" t="s">
        <v>80</v>
      </c>
    </row>
    <row r="7" spans="1:13" x14ac:dyDescent="0.25">
      <c r="A7">
        <v>6</v>
      </c>
      <c r="B7" s="5">
        <v>42081</v>
      </c>
      <c r="C7" t="s">
        <v>28</v>
      </c>
      <c r="D7" s="3">
        <v>202.47</v>
      </c>
      <c r="E7" t="s">
        <v>29</v>
      </c>
      <c r="F7" t="s">
        <v>11</v>
      </c>
      <c r="G7" s="1">
        <v>7</v>
      </c>
      <c r="H7" t="s">
        <v>23</v>
      </c>
      <c r="I7" t="s">
        <v>24</v>
      </c>
      <c r="J7" s="3">
        <f>PRODUCT(Tabela53[[#This Row],[Preço]],Tabela53[[#This Row],[Quantidade]])</f>
        <v>1417.29</v>
      </c>
    </row>
    <row r="8" spans="1:13" x14ac:dyDescent="0.25">
      <c r="A8">
        <v>34</v>
      </c>
      <c r="B8" s="5">
        <v>43273</v>
      </c>
      <c r="C8" t="s">
        <v>75</v>
      </c>
      <c r="D8" s="3">
        <v>65</v>
      </c>
      <c r="E8" t="s">
        <v>76</v>
      </c>
      <c r="F8" t="s">
        <v>11</v>
      </c>
      <c r="G8" s="1">
        <v>15</v>
      </c>
      <c r="H8" t="s">
        <v>17</v>
      </c>
      <c r="I8" t="s">
        <v>18</v>
      </c>
      <c r="J8" s="3">
        <f>PRODUCT(Tabela53[[#This Row],[Preço]],Tabela53[[#This Row],[Quantidade]])</f>
        <v>975</v>
      </c>
    </row>
    <row r="9" spans="1:13" x14ac:dyDescent="0.25">
      <c r="A9">
        <v>30</v>
      </c>
      <c r="B9" s="5">
        <v>43608</v>
      </c>
      <c r="C9" t="s">
        <v>68</v>
      </c>
      <c r="D9" s="3">
        <v>30.98</v>
      </c>
      <c r="E9" t="s">
        <v>69</v>
      </c>
      <c r="F9" t="s">
        <v>11</v>
      </c>
      <c r="G9" s="1">
        <v>14</v>
      </c>
      <c r="H9" t="s">
        <v>23</v>
      </c>
      <c r="I9" t="s">
        <v>27</v>
      </c>
      <c r="J9" s="3">
        <f>PRODUCT(Tabela53[[#This Row],[Preço]],Tabela53[[#This Row],[Quantidade]])</f>
        <v>433.72</v>
      </c>
    </row>
    <row r="10" spans="1:13" x14ac:dyDescent="0.25">
      <c r="A10">
        <v>2</v>
      </c>
      <c r="B10" s="5">
        <v>42535</v>
      </c>
      <c r="C10" t="s">
        <v>14</v>
      </c>
      <c r="D10" s="3">
        <v>45.36</v>
      </c>
      <c r="E10" t="s">
        <v>15</v>
      </c>
      <c r="F10" t="s">
        <v>16</v>
      </c>
      <c r="G10" s="1">
        <v>9</v>
      </c>
      <c r="H10" t="s">
        <v>17</v>
      </c>
      <c r="I10" t="s">
        <v>18</v>
      </c>
      <c r="J10" s="3">
        <f>PRODUCT(Tabela53[[#This Row],[Preço]],Tabela53[[#This Row],[Quantidade]])</f>
        <v>408.24</v>
      </c>
    </row>
    <row r="11" spans="1:13" x14ac:dyDescent="0.25">
      <c r="A11">
        <v>21</v>
      </c>
      <c r="B11" s="5">
        <v>43195</v>
      </c>
      <c r="C11" t="s">
        <v>55</v>
      </c>
      <c r="D11" s="3">
        <v>28.9</v>
      </c>
      <c r="E11" t="s">
        <v>56</v>
      </c>
      <c r="F11" t="s">
        <v>16</v>
      </c>
      <c r="G11" s="1">
        <v>14</v>
      </c>
      <c r="H11" t="s">
        <v>23</v>
      </c>
      <c r="I11" t="s">
        <v>27</v>
      </c>
      <c r="J11" s="3">
        <f>PRODUCT(Tabela53[[#This Row],[Preço]],Tabela53[[#This Row],[Quantidade]])</f>
        <v>404.59999999999997</v>
      </c>
    </row>
    <row r="12" spans="1:13" x14ac:dyDescent="0.25">
      <c r="A12">
        <v>18</v>
      </c>
      <c r="B12" s="5">
        <v>42427</v>
      </c>
      <c r="C12" t="s">
        <v>49</v>
      </c>
      <c r="D12" s="3">
        <v>35.619999999999997</v>
      </c>
      <c r="E12" t="s">
        <v>50</v>
      </c>
      <c r="F12" t="s">
        <v>16</v>
      </c>
      <c r="G12" s="1">
        <v>10</v>
      </c>
      <c r="H12" t="s">
        <v>17</v>
      </c>
      <c r="I12" t="s">
        <v>27</v>
      </c>
      <c r="J12" s="3">
        <f>PRODUCT(Tabela53[[#This Row],[Preço]],Tabela53[[#This Row],[Quantidade]])</f>
        <v>356.2</v>
      </c>
    </row>
    <row r="13" spans="1:13" x14ac:dyDescent="0.25">
      <c r="A13">
        <v>32</v>
      </c>
      <c r="B13" s="5">
        <v>43649</v>
      </c>
      <c r="C13" t="s">
        <v>72</v>
      </c>
      <c r="D13" s="3">
        <v>26.85</v>
      </c>
      <c r="E13" t="s">
        <v>73</v>
      </c>
      <c r="F13" t="s">
        <v>16</v>
      </c>
      <c r="G13" s="1">
        <v>13</v>
      </c>
      <c r="H13" t="s">
        <v>17</v>
      </c>
      <c r="I13" t="s">
        <v>18</v>
      </c>
      <c r="J13" s="3">
        <f>PRODUCT(Tabela53[[#This Row],[Preço]],Tabela53[[#This Row],[Quantidade]])</f>
        <v>349.05</v>
      </c>
    </row>
    <row r="14" spans="1:13" x14ac:dyDescent="0.25">
      <c r="A14">
        <v>22</v>
      </c>
      <c r="B14" s="5">
        <v>43174</v>
      </c>
      <c r="C14" t="s">
        <v>9</v>
      </c>
      <c r="D14" s="3">
        <v>43.36</v>
      </c>
      <c r="E14" t="s">
        <v>57</v>
      </c>
      <c r="F14" t="s">
        <v>16</v>
      </c>
      <c r="G14" s="1">
        <v>8</v>
      </c>
      <c r="H14" t="s">
        <v>23</v>
      </c>
      <c r="I14" t="s">
        <v>24</v>
      </c>
      <c r="J14" s="3">
        <f>PRODUCT(Tabela53[[#This Row],[Preço]],Tabela53[[#This Row],[Quantidade]])</f>
        <v>346.88</v>
      </c>
    </row>
    <row r="15" spans="1:13" x14ac:dyDescent="0.25">
      <c r="A15">
        <v>19</v>
      </c>
      <c r="B15" s="5">
        <v>42536</v>
      </c>
      <c r="C15" t="s">
        <v>51</v>
      </c>
      <c r="D15" s="3">
        <v>33.99</v>
      </c>
      <c r="E15" t="s">
        <v>52</v>
      </c>
      <c r="F15" t="s">
        <v>16</v>
      </c>
      <c r="G15" s="1">
        <v>9</v>
      </c>
      <c r="H15" t="s">
        <v>23</v>
      </c>
      <c r="I15" t="s">
        <v>24</v>
      </c>
      <c r="J15" s="3">
        <f>PRODUCT(Tabela53[[#This Row],[Preço]],Tabela53[[#This Row],[Quantidade]])</f>
        <v>305.91000000000003</v>
      </c>
    </row>
    <row r="16" spans="1:13" x14ac:dyDescent="0.25">
      <c r="A16" s="4">
        <v>1</v>
      </c>
      <c r="B16" s="5">
        <v>42980</v>
      </c>
      <c r="C16" t="s">
        <v>9</v>
      </c>
      <c r="D16" s="3">
        <v>43.36</v>
      </c>
      <c r="E16" t="s">
        <v>10</v>
      </c>
      <c r="F16" t="s">
        <v>11</v>
      </c>
      <c r="G16" s="1">
        <v>7</v>
      </c>
      <c r="H16" t="s">
        <v>12</v>
      </c>
      <c r="I16" t="s">
        <v>13</v>
      </c>
      <c r="J16" s="3">
        <f>PRODUCT(Tabela53[[#This Row],[Preço]],Tabela53[[#This Row],[Quantidade]])</f>
        <v>303.52</v>
      </c>
    </row>
    <row r="17" spans="1:10" x14ac:dyDescent="0.25">
      <c r="A17">
        <v>12</v>
      </c>
      <c r="B17" s="5">
        <v>43392</v>
      </c>
      <c r="C17" t="s">
        <v>40</v>
      </c>
      <c r="D17" s="3">
        <v>25.98</v>
      </c>
      <c r="E17" t="s">
        <v>41</v>
      </c>
      <c r="F17" t="s">
        <v>11</v>
      </c>
      <c r="G17" s="1">
        <v>11</v>
      </c>
      <c r="H17" t="s">
        <v>12</v>
      </c>
      <c r="I17" t="s">
        <v>13</v>
      </c>
      <c r="J17" s="3">
        <f>PRODUCT(Tabela53[[#This Row],[Preço]],Tabela53[[#This Row],[Quantidade]])</f>
        <v>285.78000000000003</v>
      </c>
    </row>
    <row r="18" spans="1:10" x14ac:dyDescent="0.25">
      <c r="A18">
        <v>14</v>
      </c>
      <c r="B18" s="5">
        <v>43147</v>
      </c>
      <c r="C18" t="s">
        <v>43</v>
      </c>
      <c r="D18" s="3">
        <v>18.559999999999999</v>
      </c>
      <c r="E18" t="s">
        <v>44</v>
      </c>
      <c r="F18" t="s">
        <v>11</v>
      </c>
      <c r="G18" s="1">
        <v>15</v>
      </c>
      <c r="H18" t="s">
        <v>23</v>
      </c>
      <c r="I18" t="s">
        <v>24</v>
      </c>
      <c r="J18" s="3">
        <f>PRODUCT(Tabela53[[#This Row],[Preço]],Tabela53[[#This Row],[Quantidade]])</f>
        <v>278.39999999999998</v>
      </c>
    </row>
    <row r="19" spans="1:10" x14ac:dyDescent="0.25">
      <c r="A19">
        <v>20</v>
      </c>
      <c r="B19" s="5">
        <v>42389</v>
      </c>
      <c r="C19" t="s">
        <v>53</v>
      </c>
      <c r="D19" s="3">
        <v>17.2</v>
      </c>
      <c r="E19" t="s">
        <v>54</v>
      </c>
      <c r="F19" t="s">
        <v>11</v>
      </c>
      <c r="G19" s="1">
        <v>15</v>
      </c>
      <c r="H19" t="s">
        <v>23</v>
      </c>
      <c r="I19" t="s">
        <v>24</v>
      </c>
      <c r="J19" s="3">
        <f>PRODUCT(Tabela53[[#This Row],[Preço]],Tabela53[[#This Row],[Quantidade]])</f>
        <v>258</v>
      </c>
    </row>
    <row r="20" spans="1:10" x14ac:dyDescent="0.25">
      <c r="A20">
        <v>9</v>
      </c>
      <c r="B20" s="5">
        <v>43441</v>
      </c>
      <c r="C20" t="s">
        <v>34</v>
      </c>
      <c r="D20" s="3">
        <v>17.98</v>
      </c>
      <c r="E20" t="s">
        <v>35</v>
      </c>
      <c r="F20" t="s">
        <v>16</v>
      </c>
      <c r="G20" s="1">
        <v>14</v>
      </c>
      <c r="H20" t="s">
        <v>23</v>
      </c>
      <c r="I20" t="s">
        <v>27</v>
      </c>
      <c r="J20" s="3">
        <f>PRODUCT(Tabela53[[#This Row],[Preço]],Tabela53[[#This Row],[Quantidade]])</f>
        <v>251.72</v>
      </c>
    </row>
    <row r="21" spans="1:10" x14ac:dyDescent="0.25">
      <c r="A21">
        <v>24</v>
      </c>
      <c r="B21" s="5">
        <v>42491</v>
      </c>
      <c r="C21" t="s">
        <v>34</v>
      </c>
      <c r="D21" s="3">
        <v>17.98</v>
      </c>
      <c r="E21" t="s">
        <v>59</v>
      </c>
      <c r="F21" t="s">
        <v>16</v>
      </c>
      <c r="G21" s="1">
        <v>11</v>
      </c>
      <c r="H21" t="s">
        <v>12</v>
      </c>
      <c r="I21" t="s">
        <v>13</v>
      </c>
      <c r="J21" s="3">
        <f>PRODUCT(Tabela53[[#This Row],[Preço]],Tabela53[[#This Row],[Quantidade]])</f>
        <v>197.78</v>
      </c>
    </row>
    <row r="22" spans="1:10" x14ac:dyDescent="0.25">
      <c r="A22">
        <v>11</v>
      </c>
      <c r="B22" s="5">
        <v>43307</v>
      </c>
      <c r="C22" t="s">
        <v>38</v>
      </c>
      <c r="D22" s="3">
        <v>13.85</v>
      </c>
      <c r="E22" t="s">
        <v>39</v>
      </c>
      <c r="F22" t="s">
        <v>16</v>
      </c>
      <c r="G22" s="1">
        <v>14</v>
      </c>
      <c r="H22" t="s">
        <v>23</v>
      </c>
      <c r="I22" t="s">
        <v>24</v>
      </c>
      <c r="J22" s="3">
        <f>PRODUCT(Tabela53[[#This Row],[Preço]],Tabela53[[#This Row],[Quantidade]])</f>
        <v>193.9</v>
      </c>
    </row>
    <row r="23" spans="1:10" x14ac:dyDescent="0.25">
      <c r="A23">
        <v>31</v>
      </c>
      <c r="B23" s="5">
        <v>43172</v>
      </c>
      <c r="C23" t="s">
        <v>70</v>
      </c>
      <c r="D23" s="3">
        <v>16.95</v>
      </c>
      <c r="E23" t="s">
        <v>71</v>
      </c>
      <c r="F23" t="s">
        <v>16</v>
      </c>
      <c r="G23" s="1">
        <v>11</v>
      </c>
      <c r="H23" t="s">
        <v>12</v>
      </c>
      <c r="I23" t="s">
        <v>13</v>
      </c>
      <c r="J23" s="3">
        <f>PRODUCT(Tabela53[[#This Row],[Preço]],Tabela53[[#This Row],[Quantidade]])</f>
        <v>186.45</v>
      </c>
    </row>
    <row r="24" spans="1:10" x14ac:dyDescent="0.25">
      <c r="A24">
        <v>4</v>
      </c>
      <c r="B24" s="5">
        <v>42200</v>
      </c>
      <c r="C24" t="s">
        <v>21</v>
      </c>
      <c r="D24" s="3">
        <v>25.87</v>
      </c>
      <c r="E24" t="s">
        <v>22</v>
      </c>
      <c r="F24" t="s">
        <v>16</v>
      </c>
      <c r="G24" s="1">
        <v>7</v>
      </c>
      <c r="H24" t="s">
        <v>23</v>
      </c>
      <c r="I24" t="s">
        <v>24</v>
      </c>
      <c r="J24" s="3">
        <f>PRODUCT(Tabela53[[#This Row],[Preço]],Tabela53[[#This Row],[Quantidade]])</f>
        <v>181.09</v>
      </c>
    </row>
    <row r="25" spans="1:10" x14ac:dyDescent="0.25">
      <c r="A25">
        <v>13</v>
      </c>
      <c r="B25" s="5">
        <v>43686</v>
      </c>
      <c r="C25" t="s">
        <v>42</v>
      </c>
      <c r="D25" s="3">
        <v>18.98</v>
      </c>
      <c r="E25" t="s">
        <v>33</v>
      </c>
      <c r="F25" t="s">
        <v>11</v>
      </c>
      <c r="G25" s="1">
        <v>9</v>
      </c>
      <c r="H25" t="s">
        <v>23</v>
      </c>
      <c r="I25" t="s">
        <v>27</v>
      </c>
      <c r="J25" s="3">
        <f>PRODUCT(Tabela53[[#This Row],[Preço]],Tabela53[[#This Row],[Quantidade]])</f>
        <v>170.82</v>
      </c>
    </row>
    <row r="26" spans="1:10" x14ac:dyDescent="0.25">
      <c r="A26">
        <v>33</v>
      </c>
      <c r="B26" s="5">
        <v>42435</v>
      </c>
      <c r="C26" t="s">
        <v>70</v>
      </c>
      <c r="D26" s="3">
        <v>16.95</v>
      </c>
      <c r="E26" t="s">
        <v>74</v>
      </c>
      <c r="F26" t="s">
        <v>16</v>
      </c>
      <c r="G26" s="1">
        <v>9</v>
      </c>
      <c r="H26" t="s">
        <v>23</v>
      </c>
      <c r="I26" t="s">
        <v>24</v>
      </c>
      <c r="J26" s="3">
        <f>PRODUCT(Tabela53[[#This Row],[Preço]],Tabela53[[#This Row],[Quantidade]])</f>
        <v>152.54999999999998</v>
      </c>
    </row>
    <row r="27" spans="1:10" x14ac:dyDescent="0.25">
      <c r="A27">
        <v>8</v>
      </c>
      <c r="B27" s="5">
        <v>43141</v>
      </c>
      <c r="C27" t="s">
        <v>32</v>
      </c>
      <c r="D27" s="3">
        <v>18.96</v>
      </c>
      <c r="E27" t="s">
        <v>33</v>
      </c>
      <c r="F27" t="s">
        <v>11</v>
      </c>
      <c r="G27" s="1">
        <v>8</v>
      </c>
      <c r="H27" t="s">
        <v>23</v>
      </c>
      <c r="I27" t="s">
        <v>24</v>
      </c>
      <c r="J27" s="3">
        <f>PRODUCT(Tabela53[[#This Row],[Preço]],Tabela53[[#This Row],[Quantidade]])</f>
        <v>151.68</v>
      </c>
    </row>
    <row r="28" spans="1:10" x14ac:dyDescent="0.25">
      <c r="A28">
        <v>25</v>
      </c>
      <c r="B28" s="5">
        <v>42854</v>
      </c>
      <c r="C28" t="s">
        <v>60</v>
      </c>
      <c r="D28" s="3">
        <v>13.65</v>
      </c>
      <c r="E28" t="s">
        <v>61</v>
      </c>
      <c r="F28" t="s">
        <v>16</v>
      </c>
      <c r="G28" s="1">
        <v>11</v>
      </c>
      <c r="H28" t="s">
        <v>23</v>
      </c>
      <c r="I28" t="s">
        <v>24</v>
      </c>
      <c r="J28" s="3">
        <f>PRODUCT(Tabela53[[#This Row],[Preço]],Tabela53[[#This Row],[Quantidade]])</f>
        <v>150.15</v>
      </c>
    </row>
    <row r="29" spans="1:10" x14ac:dyDescent="0.25">
      <c r="A29">
        <v>16</v>
      </c>
      <c r="B29" s="5">
        <v>44104</v>
      </c>
      <c r="C29" t="s">
        <v>47</v>
      </c>
      <c r="D29" s="3">
        <v>29.98</v>
      </c>
      <c r="E29" t="s">
        <v>46</v>
      </c>
      <c r="F29" t="s">
        <v>16</v>
      </c>
      <c r="G29" s="1">
        <v>5</v>
      </c>
      <c r="H29" t="s">
        <v>12</v>
      </c>
      <c r="I29" t="s">
        <v>13</v>
      </c>
      <c r="J29" s="3">
        <f>PRODUCT(Tabela53[[#This Row],[Preço]],Tabela53[[#This Row],[Quantidade]])</f>
        <v>149.9</v>
      </c>
    </row>
    <row r="30" spans="1:10" x14ac:dyDescent="0.25">
      <c r="A30">
        <v>10</v>
      </c>
      <c r="B30" s="5">
        <v>43901</v>
      </c>
      <c r="C30" t="s">
        <v>36</v>
      </c>
      <c r="D30" s="3">
        <v>18.98</v>
      </c>
      <c r="E30" t="s">
        <v>37</v>
      </c>
      <c r="F30" t="s">
        <v>11</v>
      </c>
      <c r="G30" s="1">
        <v>5</v>
      </c>
      <c r="H30" t="s">
        <v>17</v>
      </c>
      <c r="I30" t="s">
        <v>18</v>
      </c>
      <c r="J30" s="3">
        <f>PRODUCT(Tabela53[[#This Row],[Preço]],Tabela53[[#This Row],[Quantidade]])</f>
        <v>94.9</v>
      </c>
    </row>
    <row r="31" spans="1:10" x14ac:dyDescent="0.25">
      <c r="A31">
        <v>5</v>
      </c>
      <c r="B31" s="5">
        <v>43836</v>
      </c>
      <c r="C31" t="s">
        <v>25</v>
      </c>
      <c r="D31" s="3">
        <v>18.559999999999999</v>
      </c>
      <c r="E31" t="s">
        <v>26</v>
      </c>
      <c r="F31" t="s">
        <v>11</v>
      </c>
      <c r="G31" s="1">
        <v>5</v>
      </c>
      <c r="H31" t="s">
        <v>23</v>
      </c>
      <c r="I31" t="s">
        <v>27</v>
      </c>
      <c r="J31" s="3">
        <f>PRODUCT(Tabela53[[#This Row],[Preço]],Tabela53[[#This Row],[Quantidade]])</f>
        <v>92.8</v>
      </c>
    </row>
    <row r="32" spans="1:10" x14ac:dyDescent="0.25">
      <c r="A32">
        <v>28</v>
      </c>
      <c r="B32" s="5">
        <v>43907</v>
      </c>
      <c r="C32" t="s">
        <v>65</v>
      </c>
      <c r="D32" s="3">
        <v>13.89</v>
      </c>
      <c r="E32" t="s">
        <v>66</v>
      </c>
      <c r="F32" t="s">
        <v>16</v>
      </c>
      <c r="G32" s="1">
        <v>5</v>
      </c>
      <c r="H32" t="s">
        <v>23</v>
      </c>
      <c r="I32" t="s">
        <v>24</v>
      </c>
      <c r="J32" s="3">
        <f>PRODUCT(Tabela53[[#This Row],[Preço]],Tabela53[[#This Row],[Quantidade]])</f>
        <v>69.45</v>
      </c>
    </row>
    <row r="33" spans="1:10" x14ac:dyDescent="0.25">
      <c r="A33">
        <v>15</v>
      </c>
      <c r="B33" s="5">
        <v>44114</v>
      </c>
      <c r="C33" t="s">
        <v>45</v>
      </c>
      <c r="D33" s="3">
        <v>13.36</v>
      </c>
      <c r="E33" t="s">
        <v>46</v>
      </c>
      <c r="F33" t="s">
        <v>16</v>
      </c>
      <c r="G33" s="1">
        <v>5</v>
      </c>
      <c r="H33" t="s">
        <v>12</v>
      </c>
      <c r="I33" t="s">
        <v>13</v>
      </c>
      <c r="J33" s="3">
        <f>PRODUCT(Tabela53[[#This Row],[Preço]],Tabela53[[#This Row],[Quantidade]])</f>
        <v>66.8</v>
      </c>
    </row>
    <row r="34" spans="1:10" x14ac:dyDescent="0.25">
      <c r="A34">
        <v>7</v>
      </c>
      <c r="B34" s="5">
        <v>43896</v>
      </c>
      <c r="C34" t="s">
        <v>30</v>
      </c>
      <c r="D34" s="3">
        <v>13.25</v>
      </c>
      <c r="E34" t="s">
        <v>31</v>
      </c>
      <c r="F34" t="s">
        <v>16</v>
      </c>
      <c r="G34" s="1">
        <v>5</v>
      </c>
      <c r="H34" t="s">
        <v>17</v>
      </c>
      <c r="I34" t="s">
        <v>27</v>
      </c>
      <c r="J34" s="3">
        <f>PRODUCT(Tabela53[[#This Row],[Preço]],Tabela53[[#This Row],[Quantidade]])</f>
        <v>66.25</v>
      </c>
    </row>
    <row r="35" spans="1:10" x14ac:dyDescent="0.25">
      <c r="A35">
        <v>3</v>
      </c>
      <c r="B35" s="5">
        <v>43946</v>
      </c>
      <c r="C35" t="s">
        <v>19</v>
      </c>
      <c r="D35" s="3">
        <v>12.52</v>
      </c>
      <c r="E35" t="s">
        <v>20</v>
      </c>
      <c r="F35" t="s">
        <v>11</v>
      </c>
      <c r="G35" s="1">
        <v>5</v>
      </c>
      <c r="H35" t="s">
        <v>12</v>
      </c>
      <c r="I35" t="s">
        <v>18</v>
      </c>
      <c r="J35" s="3">
        <f>PRODUCT(Tabela53[[#This Row],[Preço]],Tabela53[[#This Row],[Quantidade]])</f>
        <v>62.599999999999994</v>
      </c>
    </row>
  </sheetData>
  <conditionalFormatting sqref="J2:J35">
    <cfRule type="iconSet" priority="1">
      <iconSet>
        <cfvo type="percent" val="0"/>
        <cfvo type="num" val="100" gte="0"/>
        <cfvo type="num" val="500"/>
      </iconSet>
    </cfRule>
  </conditionalFormatting>
  <dataValidations count="1">
    <dataValidation type="list" allowBlank="1" showInputMessage="1" showErrorMessage="1" sqref="F1:F1048576" xr:uid="{D7F60863-601D-4D5D-BC04-A26941E1AF74}">
      <formula1>"Feminino,Masculino,Outros"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Formatação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Santos da Silva</dc:creator>
  <cp:lastModifiedBy>VICTOR AMATO DOS SANTOS FILHO</cp:lastModifiedBy>
  <dcterms:created xsi:type="dcterms:W3CDTF">2023-11-17T18:30:48Z</dcterms:created>
  <dcterms:modified xsi:type="dcterms:W3CDTF">2025-11-18T14:15:20Z</dcterms:modified>
</cp:coreProperties>
</file>